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Ni-MH" sheetId="1" state="visible" r:id="rId1"/>
    <sheet name="Pack Sizes" sheetId="2" state="visible" r:id="rId2"/>
    <sheet name="Методика и 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-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color rgb="000563C1"/>
      <sz val="8"/>
      <u val="single"/>
    </font>
    <font>
      <name val="Arial"/>
      <b val="1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EAF4EA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4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4" fontId="2" fillId="6" borderId="1" applyAlignment="1" pivotButton="0" quotePrefix="0" xfId="0">
      <alignment horizontal="center" vertical="top" wrapText="1"/>
    </xf>
    <xf numFmtId="164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44" customWidth="1" min="4" max="4"/>
    <col width="11" customWidth="1" min="5" max="5"/>
    <col width="9" customWidth="1" min="6" max="6"/>
    <col width="18" customWidth="1" min="7" max="7"/>
    <col width="9" customWidth="1" min="8" max="8"/>
    <col width="44" customWidth="1" min="9" max="9"/>
    <col width="11" customWidth="1" min="10" max="10"/>
    <col width="9" customWidth="1" min="11" max="11"/>
    <col width="12" customWidth="1" min="12" max="12"/>
    <col width="46" customWidth="1" min="13" max="13"/>
  </cols>
  <sheetData>
    <row r="1" ht="20" customHeight="1">
      <c r="A1" s="1" t="inlineStr">
        <is>
          <t>Purchase Channel</t>
        </is>
      </c>
      <c r="B1" s="1" t="inlineStr">
        <is>
          <t>Партнёры</t>
        </is>
      </c>
      <c r="C1" s="2" t="inlineStr">
        <is>
          <t>GP</t>
        </is>
      </c>
      <c r="D1" s="2" t="n"/>
      <c r="E1" s="2" t="n"/>
      <c r="F1" s="2" t="n"/>
      <c r="G1" s="3" t="inlineStr">
        <is>
          <t>Competitor Brand</t>
        </is>
      </c>
      <c r="H1" s="3" t="n"/>
      <c r="I1" s="3" t="n"/>
      <c r="J1" s="3" t="n"/>
      <c r="K1" s="3" t="n"/>
      <c r="L1" s="1" t="inlineStr">
        <is>
          <t>Index GP / Comp (₽/шт)</t>
        </is>
      </c>
      <c r="M1" s="1" t="inlineStr">
        <is>
          <t>Image (карточка товара)</t>
        </is>
      </c>
    </row>
    <row r="2" ht="34" customHeight="1">
      <c r="A2" s="4" t="n"/>
      <c r="B2" s="4" t="n"/>
      <c r="C2" s="2" t="inlineStr">
        <is>
          <t>Pack Size</t>
        </is>
      </c>
      <c r="D2" s="2" t="inlineStr">
        <is>
          <t>Cell Model &amp; Capacity</t>
        </is>
      </c>
      <c r="E2" s="2" t="inlineStr">
        <is>
          <t>RSP, ₽</t>
        </is>
      </c>
      <c r="F2" s="2" t="inlineStr">
        <is>
          <t>₽ / шт</t>
        </is>
      </c>
      <c r="G2" s="3" t="inlineStr">
        <is>
          <t>Brand Name</t>
        </is>
      </c>
      <c r="H2" s="3" t="inlineStr">
        <is>
          <t>Pack Size</t>
        </is>
      </c>
      <c r="I2" s="3" t="inlineStr">
        <is>
          <t>Cell Model &amp; Capacity</t>
        </is>
      </c>
      <c r="J2" s="3" t="inlineStr">
        <is>
          <t>RSP, ₽</t>
        </is>
      </c>
      <c r="K2" s="3" t="inlineStr">
        <is>
          <t>₽ / шт</t>
        </is>
      </c>
      <c r="L2" s="4" t="n"/>
      <c r="M2" s="4" t="n"/>
    </row>
    <row r="3">
      <c r="A3" s="5" t="inlineStr">
        <is>
          <t>Online</t>
        </is>
      </c>
      <c r="B3" s="5" t="inlineStr">
        <is>
          <t>Onlinetrade.ru, Ozon</t>
        </is>
      </c>
      <c r="C3" s="6" t="n">
        <v>2</v>
      </c>
      <c r="D3" s="7" t="inlineStr">
        <is>
          <t>GP Recharge 270AAHC · AA · 2700 (на упак. 2600) мАч</t>
        </is>
      </c>
      <c r="E3" s="8" t="n">
        <v>1160</v>
      </c>
      <c r="F3" s="8">
        <f>IFERROR(E3/C3,"")</f>
        <v/>
      </c>
      <c r="G3" s="9" t="inlineStr">
        <is>
          <t>VARTA</t>
        </is>
      </c>
      <c r="H3" s="10" t="n">
        <v>2</v>
      </c>
      <c r="I3" s="9" t="inlineStr">
        <is>
          <t>VARTA Recharge Accu Power 5706301402 · AA · 2700 мАч</t>
        </is>
      </c>
      <c r="J3" s="11" t="inlineStr">
        <is>
          <t>н/д</t>
        </is>
      </c>
      <c r="K3" s="11">
        <f>IFERROR(J3/H3,"")</f>
        <v/>
      </c>
      <c r="L3" s="12">
        <f>IFERROR(F3/K3-1,"")</f>
        <v/>
      </c>
      <c r="M3" s="13" t="inlineStr">
        <is>
          <t>https://www.onlinetrade.ru/catalogue/akkumulyatory_aa_aaa-c455/varta/akkumulyator_varta_lr6_aa_2700_mah_up_2_sht_05706301402-58583.html</t>
        </is>
      </c>
    </row>
    <row r="4">
      <c r="A4" s="5" t="inlineStr">
        <is>
          <t>Online</t>
        </is>
      </c>
      <c r="B4" s="5" t="inlineStr">
        <is>
          <t>Onlinetrade.ru, Ozon</t>
        </is>
      </c>
      <c r="C4" s="6" t="n">
        <v>4</v>
      </c>
      <c r="D4" s="7" t="inlineStr">
        <is>
          <t>GP Recharge 270AAHC-UC4 · AA · 2700 мАч</t>
        </is>
      </c>
      <c r="E4" s="8" t="inlineStr">
        <is>
          <t>н/д</t>
        </is>
      </c>
      <c r="F4" s="8">
        <f>IFERROR(E4/C4,"")</f>
        <v/>
      </c>
      <c r="G4" s="9" t="inlineStr">
        <is>
          <t>VARTA</t>
        </is>
      </c>
      <c r="H4" s="10" t="n">
        <v>4</v>
      </c>
      <c r="I4" s="9" t="inlineStr">
        <is>
          <t>VARTA Accu Power 5706301404 · AA · 2700 мАч</t>
        </is>
      </c>
      <c r="J4" s="11" t="n">
        <v>1650</v>
      </c>
      <c r="K4" s="11">
        <f>IFERROR(J4/H4,"")</f>
        <v/>
      </c>
      <c r="L4" s="12">
        <f>IFERROR(F4/K4-1,"")</f>
        <v/>
      </c>
      <c r="M4" s="13" t="inlineStr">
        <is>
          <t>https://www.onlinetrade.ru/catalogue/akkumulyatory_aa_aaa-c455/varta/capacity--2700_mah.html</t>
        </is>
      </c>
    </row>
    <row r="5">
      <c r="A5" s="5" t="inlineStr">
        <is>
          <t>Online</t>
        </is>
      </c>
      <c r="B5" s="5" t="inlineStr">
        <is>
          <t>Onlinetrade.ru, Ozon</t>
        </is>
      </c>
      <c r="C5" s="6" t="n">
        <v>4</v>
      </c>
      <c r="D5" s="7" t="inlineStr">
        <is>
          <t>GP Recharge 270AAHC-UC4 · AA · 2700 мАч</t>
        </is>
      </c>
      <c r="E5" s="8" t="inlineStr">
        <is>
          <t>н/д</t>
        </is>
      </c>
      <c r="F5" s="8">
        <f>IFERROR(E5/C5,"")</f>
        <v/>
      </c>
      <c r="G5" s="9" t="inlineStr">
        <is>
          <t>Panasonic</t>
        </is>
      </c>
      <c r="H5" s="10" t="n">
        <v>4</v>
      </c>
      <c r="I5" s="9" t="inlineStr">
        <is>
          <t>Panasonic 5410853052807 · AA · 2700 мАч</t>
        </is>
      </c>
      <c r="J5" s="11" t="inlineStr">
        <is>
          <t>н/д</t>
        </is>
      </c>
      <c r="K5" s="11">
        <f>IFERROR(J5/H5,"")</f>
        <v/>
      </c>
      <c r="L5" s="12">
        <f>IFERROR(F5/K5-1,"")</f>
        <v/>
      </c>
      <c r="M5" s="13" t="inlineStr">
        <is>
          <t>https://www.onlinetrade.ru/catalogue/akkumulyatory_aa_aaa-c455/panasonic/akkumulyator_panasonic_lr6_aa_2700_mah_up_4_sht_5410853052807-806007.html</t>
        </is>
      </c>
    </row>
    <row r="6">
      <c r="A6" s="5" t="inlineStr">
        <is>
          <t>Online</t>
        </is>
      </c>
      <c r="B6" s="5" t="inlineStr">
        <is>
          <t>Onlinetrade.ru, Ozon</t>
        </is>
      </c>
      <c r="C6" s="6" t="n">
        <v>4</v>
      </c>
      <c r="D6" s="7" t="inlineStr">
        <is>
          <t>GP Recharge 250AAHC-2DECRC4 · AA · 2500 мАч</t>
        </is>
      </c>
      <c r="E6" s="8" t="inlineStr">
        <is>
          <t>н/д</t>
        </is>
      </c>
      <c r="F6" s="8">
        <f>IFERROR(E6/C6,"")</f>
        <v/>
      </c>
      <c r="G6" s="9" t="inlineStr">
        <is>
          <t>Duracell</t>
        </is>
      </c>
      <c r="H6" s="10" t="n">
        <v>4</v>
      </c>
      <c r="I6" s="9" t="inlineStr">
        <is>
          <t>Duracell Recharge Turbo HR6 / DX1500-4BL · AA · 2500 мАч</t>
        </is>
      </c>
      <c r="J6" s="11" t="inlineStr">
        <is>
          <t>н/д</t>
        </is>
      </c>
      <c r="K6" s="11">
        <f>IFERROR(J6/H6,"")</f>
        <v/>
      </c>
      <c r="L6" s="12">
        <f>IFERROR(F6/K6-1,"")</f>
        <v/>
      </c>
      <c r="M6" s="13" t="inlineStr">
        <is>
          <t>https://www.ozon.ru/product/akkumulyatornaya-batareyka-duracell-recharge-turbo-aa-2500-mah-4-sht-139987436/</t>
        </is>
      </c>
    </row>
    <row r="7">
      <c r="A7" s="5" t="inlineStr">
        <is>
          <t>Online</t>
        </is>
      </c>
      <c r="B7" s="5" t="inlineStr">
        <is>
          <t>Onlinetrade.ru, Ozon</t>
        </is>
      </c>
      <c r="C7" s="6" t="n">
        <v>2</v>
      </c>
      <c r="D7" s="7" t="inlineStr">
        <is>
          <t>GP Recharge 250AAHC-UC2 · AA · 2500 мАч</t>
        </is>
      </c>
      <c r="E7" s="8" t="inlineStr">
        <is>
          <t>н/д</t>
        </is>
      </c>
      <c r="F7" s="8">
        <f>IFERROR(E7/C7,"")</f>
        <v/>
      </c>
      <c r="G7" s="9" t="inlineStr">
        <is>
          <t>Duracell</t>
        </is>
      </c>
      <c r="H7" s="10" t="n">
        <v>2</v>
      </c>
      <c r="I7" s="9" t="inlineStr">
        <is>
          <t>Duracell Recharge Turbo · AA · 2500 мАч</t>
        </is>
      </c>
      <c r="J7" s="11" t="inlineStr">
        <is>
          <t>н/д</t>
        </is>
      </c>
      <c r="K7" s="11">
        <f>IFERROR(J7/H7,"")</f>
        <v/>
      </c>
      <c r="L7" s="12">
        <f>IFERROR(F7/K7-1,"")</f>
        <v/>
      </c>
      <c r="M7" s="13" t="inlineStr">
        <is>
          <t>https://www.ozon.ru/context/detail/id/139987434/</t>
        </is>
      </c>
    </row>
    <row r="8">
      <c r="A8" s="5" t="inlineStr">
        <is>
          <t>Online</t>
        </is>
      </c>
      <c r="B8" s="5" t="inlineStr">
        <is>
          <t>Onlinetrade.ru, Ozon</t>
        </is>
      </c>
      <c r="C8" s="6" t="n">
        <v>4</v>
      </c>
      <c r="D8" s="7" t="inlineStr">
        <is>
          <t>GP ReEnergy 260AAHCRGY · AA · 2600 мАч (LSD)</t>
        </is>
      </c>
      <c r="E8" s="8" t="inlineStr">
        <is>
          <t>н/д</t>
        </is>
      </c>
      <c r="F8" s="8">
        <f>IFERROR(E8/C8,"")</f>
        <v/>
      </c>
      <c r="G8" s="9" t="inlineStr">
        <is>
          <t>VARTA</t>
        </is>
      </c>
      <c r="H8" s="10" t="n">
        <v>4</v>
      </c>
      <c r="I8" s="9" t="inlineStr">
        <is>
          <t>VARTA Recharge Accu Power R2U 5716101404 · AA · 2600 мАч (LSD)</t>
        </is>
      </c>
      <c r="J8" s="11" t="inlineStr">
        <is>
          <t>н/д</t>
        </is>
      </c>
      <c r="K8" s="11">
        <f>IFERROR(J8/H8,"")</f>
        <v/>
      </c>
      <c r="L8" s="12">
        <f>IFERROR(F8/K8-1,"")</f>
        <v/>
      </c>
      <c r="M8" s="13" t="inlineStr">
        <is>
          <t>https://www.onlinetrade.ru/catalogue/akkumulyatory_aa_aaa-c455/varta/akkumulyator_varta_lr6_aa_2600_mah_r2u_up_4_sht_05716101404-161570.html</t>
        </is>
      </c>
    </row>
    <row r="9">
      <c r="A9" s="5" t="inlineStr">
        <is>
          <t>Online</t>
        </is>
      </c>
      <c r="B9" s="5" t="inlineStr">
        <is>
          <t>Onlinetrade.ru, Ozon</t>
        </is>
      </c>
      <c r="C9" s="6" t="n">
        <v>2</v>
      </c>
      <c r="D9" s="7" t="inlineStr">
        <is>
          <t>GP ReEnergy 210AAHCRGY-2CRCB2 · AA · 2000–2100 мАч (LSD)</t>
        </is>
      </c>
      <c r="E9" s="8" t="inlineStr">
        <is>
          <t>н/д</t>
        </is>
      </c>
      <c r="F9" s="8">
        <f>IFERROR(E9/C9,"")</f>
        <v/>
      </c>
      <c r="G9" s="9" t="inlineStr">
        <is>
          <t>VARTA</t>
        </is>
      </c>
      <c r="H9" s="10" t="n">
        <v>2</v>
      </c>
      <c r="I9" s="9" t="inlineStr">
        <is>
          <t>VARTA R2U · AA · 2100 мАч (LSD)</t>
        </is>
      </c>
      <c r="J9" s="11" t="inlineStr">
        <is>
          <t>н/д</t>
        </is>
      </c>
      <c r="K9" s="11">
        <f>IFERROR(J9/H9,"")</f>
        <v/>
      </c>
      <c r="L9" s="12">
        <f>IFERROR(F9/K9-1,"")</f>
        <v/>
      </c>
      <c r="M9" s="13" t="inlineStr">
        <is>
          <t>https://www.ozon.ru/category/akkumulyatornye-batareyki-15883/varta-26668103/</t>
        </is>
      </c>
    </row>
    <row r="10">
      <c r="A10" s="5" t="inlineStr">
        <is>
          <t>Online</t>
        </is>
      </c>
      <c r="B10" s="5" t="inlineStr">
        <is>
          <t>Onlinetrade.ru, Ozon</t>
        </is>
      </c>
      <c r="C10" s="6" t="n">
        <v>4</v>
      </c>
      <c r="D10" s="7" t="inlineStr">
        <is>
          <t>GP ReEnergy 210AAHCRGY · AA · 2000–2100 мАч (LSD)</t>
        </is>
      </c>
      <c r="E10" s="8" t="inlineStr">
        <is>
          <t>н/д</t>
        </is>
      </c>
      <c r="F10" s="8">
        <f>IFERROR(E10/C10,"")</f>
        <v/>
      </c>
      <c r="G10" s="9" t="inlineStr">
        <is>
          <t>Panasonic</t>
        </is>
      </c>
      <c r="H10" s="10" t="n">
        <v>4</v>
      </c>
      <c r="I10" s="9" t="inlineStr">
        <is>
          <t>Panasonic Eneloop BK-3MCDE · AA · 2000 мАч (LSD)</t>
        </is>
      </c>
      <c r="J10" s="11" t="inlineStr">
        <is>
          <t>н/д</t>
        </is>
      </c>
      <c r="K10" s="11">
        <f>IFERROR(J10/H10,"")</f>
        <v/>
      </c>
      <c r="L10" s="12">
        <f>IFERROR(F10/K10-1,"")</f>
        <v/>
      </c>
      <c r="M10" s="13" t="inlineStr">
        <is>
          <t>https://www.ozon.ru/category/akkumulyatornye-batareyki-aa/</t>
        </is>
      </c>
    </row>
    <row r="11">
      <c r="A11" s="5" t="inlineStr">
        <is>
          <t>Online</t>
        </is>
      </c>
      <c r="B11" s="5" t="inlineStr">
        <is>
          <t>Onlinetrade.ru, Ozon</t>
        </is>
      </c>
      <c r="C11" s="6" t="n">
        <v>2</v>
      </c>
      <c r="D11" s="7" t="inlineStr">
        <is>
          <t>GP Recharge 100AAAHC-2DECRC2 · AAA · 1000 мАч</t>
        </is>
      </c>
      <c r="E11" s="8" t="inlineStr">
        <is>
          <t>н/д</t>
        </is>
      </c>
      <c r="F11" s="8">
        <f>IFERROR(E11/C11,"")</f>
        <v/>
      </c>
      <c r="G11" s="9" t="inlineStr">
        <is>
          <t>Duracell</t>
        </is>
      </c>
      <c r="H11" s="10" t="n">
        <v>2</v>
      </c>
      <c r="I11" s="9" t="inlineStr">
        <is>
          <t>Duracell Rechargeable HR03 · AAA · 900 мАч</t>
        </is>
      </c>
      <c r="J11" s="11" t="inlineStr">
        <is>
          <t>н/д</t>
        </is>
      </c>
      <c r="K11" s="11">
        <f>IFERROR(J11/H11,"")</f>
        <v/>
      </c>
      <c r="L11" s="12">
        <f>IFERROR(F11/K11-1,"")</f>
        <v/>
      </c>
      <c r="M11" s="13" t="inlineStr">
        <is>
          <t>https://www.onlinetrade.ru/catalogue/akkumulyatory_aa_aaa-c455/gp/akkumulyator_gp_lr03_aaa_1000_mah_up_2_sht_gp_100aaahc_2decrc2-6495.html</t>
        </is>
      </c>
    </row>
    <row r="12">
      <c r="A12" s="5" t="inlineStr">
        <is>
          <t>Online</t>
        </is>
      </c>
      <c r="B12" s="5" t="inlineStr">
        <is>
          <t>Onlinetrade.ru, Ozon</t>
        </is>
      </c>
      <c r="C12" s="6" t="n">
        <v>4</v>
      </c>
      <c r="D12" s="7" t="inlineStr">
        <is>
          <t>GP ReEnergy 100AAAHCRGY-2CRCB4 · AAA · 950 мАч (LSD)</t>
        </is>
      </c>
      <c r="E12" s="8" t="inlineStr">
        <is>
          <t>н/д</t>
        </is>
      </c>
      <c r="F12" s="8">
        <f>IFERROR(E12/C12,"")</f>
        <v/>
      </c>
      <c r="G12" s="9" t="inlineStr">
        <is>
          <t>Duracell</t>
        </is>
      </c>
      <c r="H12" s="10" t="n">
        <v>4</v>
      </c>
      <c r="I12" s="9" t="inlineStr">
        <is>
          <t>Duracell Turbo 5000394098350 · AAA · 850 мАч</t>
        </is>
      </c>
      <c r="J12" s="11" t="inlineStr">
        <is>
          <t>н/д</t>
        </is>
      </c>
      <c r="K12" s="11">
        <f>IFERROR(J12/H12,"")</f>
        <v/>
      </c>
      <c r="L12" s="12">
        <f>IFERROR(F12/K12-1,"")</f>
        <v/>
      </c>
      <c r="M12" s="13" t="inlineStr">
        <is>
          <t>https://www.onlinetrade.ru/catalogue/akkumulyatory_aa_aaa-c455/duracell/akkumulyator_duracell_turbo_aaa_850_mah_up_4_sht_zaryazhennye_5000394_098350-214524.html</t>
        </is>
      </c>
    </row>
    <row r="13">
      <c r="A13" s="5" t="inlineStr">
        <is>
          <t>Online</t>
        </is>
      </c>
      <c r="B13" s="5" t="inlineStr">
        <is>
          <t>Onlinetrade.ru, Ozon</t>
        </is>
      </c>
      <c r="C13" s="6" t="n">
        <v>2</v>
      </c>
      <c r="D13" s="7" t="inlineStr">
        <is>
          <t>GP ReEnergy 65AAAHCRGY-2CRCB2 · AAA · 650 мАч (LSD)</t>
        </is>
      </c>
      <c r="E13" s="8" t="inlineStr">
        <is>
          <t>н/д</t>
        </is>
      </c>
      <c r="F13" s="8">
        <f>IFERROR(E13/C13,"")</f>
        <v/>
      </c>
      <c r="G13" s="9" t="inlineStr">
        <is>
          <t>VARTA</t>
        </is>
      </c>
      <c r="H13" s="10" t="n">
        <v>2</v>
      </c>
      <c r="I13" s="9" t="inlineStr">
        <is>
          <t>VARTA R2U 56703101412 · AAA · 800 мАч (LSD)</t>
        </is>
      </c>
      <c r="J13" s="11" t="inlineStr">
        <is>
          <t>н/д</t>
        </is>
      </c>
      <c r="K13" s="11">
        <f>IFERROR(J13/H13,"")</f>
        <v/>
      </c>
      <c r="L13" s="12">
        <f>IFERROR(F13/K13-1,"")</f>
        <v/>
      </c>
      <c r="M13" s="13" t="inlineStr">
        <is>
          <t>https://www.onlinetrade.ru/catalogue/akkumulyatory_aa_aaa-c455/varta/akkumulyator_varta_lr03_aaa_800_mah_r2u_up_2_sht_56703101412-58585.html</t>
        </is>
      </c>
    </row>
    <row r="14">
      <c r="A14" s="5" t="inlineStr">
        <is>
          <t>Discounters, Private Brands</t>
        </is>
      </c>
      <c r="B14" s="5" t="inlineStr">
        <is>
          <t>FixPrice</t>
        </is>
      </c>
      <c r="C14" s="6" t="inlineStr">
        <is>
          <t>н/д</t>
        </is>
      </c>
      <c r="D14" s="7" t="inlineStr">
        <is>
          <t>GP Ni-MH в отдельной упаковке не представлен (только набор ЗУ GP PowerBank + 4×AA 1300 мАч — исключён по методике)</t>
        </is>
      </c>
      <c r="E14" s="8" t="inlineStr">
        <is>
          <t>н/д</t>
        </is>
      </c>
      <c r="F14" s="8">
        <f>IFERROR(E14/C14,"")</f>
        <v/>
      </c>
      <c r="G14" s="9" t="inlineStr">
        <is>
          <t>Fix Price (СТМ, no-name)</t>
        </is>
      </c>
      <c r="H14" s="10" t="n">
        <v>4</v>
      </c>
      <c r="I14" s="9" t="inlineStr">
        <is>
          <t>Ni-MH · AA · 600 мАч · 600 циклов</t>
        </is>
      </c>
      <c r="J14" s="11" t="n">
        <v>199</v>
      </c>
      <c r="K14" s="11">
        <f>IFERROR(J14/H14,"")</f>
        <v/>
      </c>
      <c r="L14" s="12">
        <f>IFERROR(F14/K14-1,"")</f>
        <v/>
      </c>
      <c r="M14" s="13" t="inlineStr">
        <is>
          <t>https://fix-price.com/catalog/dlya-doma/p-5014125-batareyki-akkumulyatornye-4-sht-aa</t>
        </is>
      </c>
    </row>
    <row r="15">
      <c r="A15" s="5" t="inlineStr">
        <is>
          <t>Discounters, Private Brands</t>
        </is>
      </c>
      <c r="B15" s="5" t="inlineStr">
        <is>
          <t>FixPrice</t>
        </is>
      </c>
      <c r="C15" s="6" t="inlineStr">
        <is>
          <t>н/д</t>
        </is>
      </c>
      <c r="D15" s="7" t="inlineStr">
        <is>
          <t>GP Ni-MH в отдельной упаковке не представлен</t>
        </is>
      </c>
      <c r="E15" s="8" t="inlineStr">
        <is>
          <t>н/д</t>
        </is>
      </c>
      <c r="F15" s="8">
        <f>IFERROR(E15/C15,"")</f>
        <v/>
      </c>
      <c r="G15" s="9" t="inlineStr">
        <is>
          <t>Fix Price (СТМ, no-name)</t>
        </is>
      </c>
      <c r="H15" s="10" t="n">
        <v>4</v>
      </c>
      <c r="I15" s="9" t="inlineStr">
        <is>
          <t>Ni-MH · AAA · 600 мАч · 600 циклов</t>
        </is>
      </c>
      <c r="J15" s="11" t="n">
        <v>199</v>
      </c>
      <c r="K15" s="11">
        <f>IFERROR(J15/H15,"")</f>
        <v/>
      </c>
      <c r="L15" s="12">
        <f>IFERROR(F15/K15-1,"")</f>
        <v/>
      </c>
      <c r="M15" s="13" t="inlineStr">
        <is>
          <t>https://fix-price.com/catalog/dlya-doma/p-5014126-batareyki-akkumulyatornye-4-sht-aa</t>
        </is>
      </c>
    </row>
    <row r="16">
      <c r="A16" s="5" t="inlineStr">
        <is>
          <t>Food, Soft discount</t>
        </is>
      </c>
      <c r="B16" s="5" t="inlineStr">
        <is>
          <t>Ашан, Лента, Глобус, О'КЕЙ</t>
        </is>
      </c>
      <c r="C16" s="6" t="n">
        <v>2</v>
      </c>
      <c r="D16" s="7" t="inlineStr">
        <is>
          <t>GP Recharge 230AAHC · AA · 2300 мАч (Ашан)</t>
        </is>
      </c>
      <c r="E16" s="8" t="n">
        <v>455</v>
      </c>
      <c r="F16" s="8">
        <f>IFERROR(E16/C16,"")</f>
        <v/>
      </c>
      <c r="G16" s="9" t="inlineStr">
        <is>
          <t>Energizer</t>
        </is>
      </c>
      <c r="H16" s="10" t="n">
        <v>2</v>
      </c>
      <c r="I16" s="9" t="inlineStr">
        <is>
          <t>Energizer Extreme · AA · 2300 мАч (Ашан)</t>
        </is>
      </c>
      <c r="J16" s="11" t="n">
        <v>635.99</v>
      </c>
      <c r="K16" s="11">
        <f>IFERROR(J16/H16,"")</f>
        <v/>
      </c>
      <c r="L16" s="12">
        <f>IFERROR(F16/K16-1,"")</f>
        <v/>
      </c>
      <c r="M16" s="13" t="inlineStr">
        <is>
          <t>https://www.auchan.ru/product/batareyka-akkumulyatornaya-energizer-extreme-2300-mach-aa-2-sht/</t>
        </is>
      </c>
    </row>
    <row r="17">
      <c r="A17" s="5" t="inlineStr">
        <is>
          <t>Food, Soft discount</t>
        </is>
      </c>
      <c r="B17" s="5" t="inlineStr">
        <is>
          <t>Ашан, Лента, Глобус, О'КЕЙ</t>
        </is>
      </c>
      <c r="C17" s="6" t="n">
        <v>2</v>
      </c>
      <c r="D17" s="7" t="inlineStr">
        <is>
          <t>GP Recharge 250AAHC · AA · 2500 мАч (Ашан)</t>
        </is>
      </c>
      <c r="E17" s="8" t="n">
        <v>545</v>
      </c>
      <c r="F17" s="8">
        <f>IFERROR(E17/C17,"")</f>
        <v/>
      </c>
      <c r="G17" s="9" t="inlineStr">
        <is>
          <t>Focusray</t>
        </is>
      </c>
      <c r="H17" s="10" t="n">
        <v>2</v>
      </c>
      <c r="I17" s="9" t="inlineStr">
        <is>
          <t>Focusray Rechargeable · AA · 2500 мАч (Глобус)</t>
        </is>
      </c>
      <c r="J17" s="11" t="n">
        <v>409.99</v>
      </c>
      <c r="K17" s="11">
        <f>IFERROR(J17/H17,"")</f>
        <v/>
      </c>
      <c r="L17" s="12">
        <f>IFERROR(F17/K17-1,"")</f>
        <v/>
      </c>
      <c r="M17" s="13" t="inlineStr">
        <is>
          <t>https://online.globus.ru/products/akkumulyatory-aa-1-2v-2500mah-focusray-rechargeable-2-sht/</t>
        </is>
      </c>
    </row>
    <row r="18">
      <c r="A18" s="5" t="inlineStr">
        <is>
          <t>Food, Soft discount</t>
        </is>
      </c>
      <c r="B18" s="5" t="inlineStr">
        <is>
          <t>Ашан, Лента, Глобус, О'КЕЙ</t>
        </is>
      </c>
      <c r="C18" s="6" t="n">
        <v>2</v>
      </c>
      <c r="D18" s="7" t="inlineStr">
        <is>
          <t>GP Recharge 270AAHC · AA · 2700 мАч (Ашан)</t>
        </is>
      </c>
      <c r="E18" s="8" t="n">
        <v>754</v>
      </c>
      <c r="F18" s="8">
        <f>IFERROR(E18/C18,"")</f>
        <v/>
      </c>
      <c r="G18" s="9" t="inlineStr">
        <is>
          <t>Energizer</t>
        </is>
      </c>
      <c r="H18" s="10" t="n">
        <v>2</v>
      </c>
      <c r="I18" s="9" t="inlineStr">
        <is>
          <t>Energizer Extreme · AA · 2300 мАч (Ашан)</t>
        </is>
      </c>
      <c r="J18" s="11" t="n">
        <v>635.99</v>
      </c>
      <c r="K18" s="11">
        <f>IFERROR(J18/H18,"")</f>
        <v/>
      </c>
      <c r="L18" s="12">
        <f>IFERROR(F18/K18-1,"")</f>
        <v/>
      </c>
      <c r="M18" s="13" t="inlineStr">
        <is>
          <t>https://www.auchan.ru/pokupki/akk-gp-2sht-2700aans-aa-ni-mh.html</t>
        </is>
      </c>
    </row>
    <row r="19">
      <c r="A19" s="5" t="inlineStr">
        <is>
          <t>Food, Soft discount</t>
        </is>
      </c>
      <c r="B19" s="5" t="inlineStr">
        <is>
          <t>Ашан, Лента, Глобус, О'КЕЙ</t>
        </is>
      </c>
      <c r="C19" s="6" t="n">
        <v>2</v>
      </c>
      <c r="D19" s="7" t="inlineStr">
        <is>
          <t>GP Recharge 250AAHC · AA · 2500 мАч (Глобус)</t>
        </is>
      </c>
      <c r="E19" s="8" t="n">
        <v>779.99</v>
      </c>
      <c r="F19" s="8">
        <f>IFERROR(E19/C19,"")</f>
        <v/>
      </c>
      <c r="G19" s="9" t="inlineStr">
        <is>
          <t>Focusray</t>
        </is>
      </c>
      <c r="H19" s="10" t="n">
        <v>2</v>
      </c>
      <c r="I19" s="9" t="inlineStr">
        <is>
          <t>Focusray · AA · 2500 мАч (Глобус)</t>
        </is>
      </c>
      <c r="J19" s="11" t="n">
        <v>409.99</v>
      </c>
      <c r="K19" s="11">
        <f>IFERROR(J19/H19,"")</f>
        <v/>
      </c>
      <c r="L19" s="12">
        <f>IFERROR(F19/K19-1,"")</f>
        <v/>
      </c>
      <c r="M19" s="13" t="inlineStr">
        <is>
          <t>https://online.globus.ru/catalog/dom-khobbi-tekhnika/elektrotovary/batareyki-i-akkumulyatory/akkumulyatory/</t>
        </is>
      </c>
    </row>
    <row r="20">
      <c r="A20" s="5" t="inlineStr">
        <is>
          <t>Food, Soft discount</t>
        </is>
      </c>
      <c r="B20" s="5" t="inlineStr">
        <is>
          <t>Ашан, Лента, Глобус, О'КЕЙ</t>
        </is>
      </c>
      <c r="C20" s="6" t="n">
        <v>2</v>
      </c>
      <c r="D20" s="7" t="inlineStr">
        <is>
          <t>GP Recharge 270AAHC-BC2 · AA · 2700 мАч (Лента, Глобус)</t>
        </is>
      </c>
      <c r="E20" s="8" t="n">
        <v>849.99</v>
      </c>
      <c r="F20" s="8">
        <f>IFERROR(E20/C20,"")</f>
        <v/>
      </c>
      <c r="G20" s="9" t="inlineStr">
        <is>
          <t>VARTA</t>
        </is>
      </c>
      <c r="H20" s="10" t="n">
        <v>4</v>
      </c>
      <c r="I20" s="9" t="inlineStr">
        <is>
          <t>VARTA Recharge Accu Power · AA · 2100 мАч (Глобус)</t>
        </is>
      </c>
      <c r="J20" s="11" t="n">
        <v>849.99</v>
      </c>
      <c r="K20" s="11">
        <f>IFERROR(J20/H20,"")</f>
        <v/>
      </c>
      <c r="L20" s="12">
        <f>IFERROR(F20/K20-1,"")</f>
        <v/>
      </c>
      <c r="M20" s="13" t="inlineStr">
        <is>
          <t>https://lenta.com/product/akkumulyator-gp-270aahcbc2-2700-aa-singapur-2sht-068623/</t>
        </is>
      </c>
    </row>
    <row r="21">
      <c r="A21" s="5" t="inlineStr">
        <is>
          <t>Food, Soft discount</t>
        </is>
      </c>
      <c r="B21" s="5" t="inlineStr">
        <is>
          <t>Ашан, Лента, Глобус, О'КЕЙ</t>
        </is>
      </c>
      <c r="C21" s="6" t="n">
        <v>2</v>
      </c>
      <c r="D21" s="7" t="inlineStr">
        <is>
          <t>GP Recharge 130AAHC-U2 · AA · 1300 мАч (Лента)</t>
        </is>
      </c>
      <c r="E21" s="8" t="inlineStr">
        <is>
          <t>н/д</t>
        </is>
      </c>
      <c r="F21" s="8">
        <f>IFERROR(E21/C21,"")</f>
        <v/>
      </c>
      <c r="G21" s="9" t="inlineStr">
        <is>
          <t>Focusray</t>
        </is>
      </c>
      <c r="H21" s="10" t="n">
        <v>2</v>
      </c>
      <c r="I21" s="9" t="inlineStr">
        <is>
          <t>Focusray · AA · 2500 мАч (Глобус)</t>
        </is>
      </c>
      <c r="J21" s="11" t="n">
        <v>409.99</v>
      </c>
      <c r="K21" s="11">
        <f>IFERROR(J21/H21,"")</f>
        <v/>
      </c>
      <c r="L21" s="12">
        <f>IFERROR(F21/K21-1,"")</f>
        <v/>
      </c>
      <c r="M21" s="13" t="inlineStr">
        <is>
          <t>https://lenta.com/product/akkumulyator-gp-130aahcu2-1300-aa-kitajj-2sht-030857/</t>
        </is>
      </c>
    </row>
    <row r="22">
      <c r="A22" s="5" t="inlineStr">
        <is>
          <t>Food, Soft discount</t>
        </is>
      </c>
      <c r="B22" s="5" t="inlineStr">
        <is>
          <t>Ашан, Лента, Глобус, О'КЕЙ</t>
        </is>
      </c>
      <c r="C22" s="6" t="n">
        <v>2</v>
      </c>
      <c r="D22" s="7" t="inlineStr">
        <is>
          <t>GP Recharge 100AAAHC · AAA · 1000 мАч (Глобус, Лента)</t>
        </is>
      </c>
      <c r="E22" s="8" t="n">
        <v>529.99</v>
      </c>
      <c r="F22" s="8">
        <f>IFERROR(E22/C22,"")</f>
        <v/>
      </c>
      <c r="G22" s="9" t="inlineStr">
        <is>
          <t>VARTA</t>
        </is>
      </c>
      <c r="H22" s="10" t="n">
        <v>4</v>
      </c>
      <c r="I22" s="9" t="inlineStr">
        <is>
          <t>VARTA · AAA · 1000 мАч (Глобус)</t>
        </is>
      </c>
      <c r="J22" s="11" t="n">
        <v>929.99</v>
      </c>
      <c r="K22" s="11">
        <f>IFERROR(J22/H22,"")</f>
        <v/>
      </c>
      <c r="L22" s="12">
        <f>IFERROR(F22/K22-1,"")</f>
        <v/>
      </c>
      <c r="M22" s="13" t="inlineStr">
        <is>
          <t>https://online.globus.ru/catalog/dom-khobbi-tekhnika/elektrotovary/batareyki-i-akkumulyatory/akkumulyatory/</t>
        </is>
      </c>
    </row>
    <row r="23">
      <c r="A23" s="5" t="inlineStr">
        <is>
          <t>Food, Soft discount</t>
        </is>
      </c>
      <c r="B23" s="5" t="inlineStr">
        <is>
          <t>Ашан, Лента, Глобус, О'КЕЙ</t>
        </is>
      </c>
      <c r="C23" s="6" t="n">
        <v>2</v>
      </c>
      <c r="D23" s="7" t="inlineStr">
        <is>
          <t>GP Recharge 85AAAHC · AAA · 850 мАч (Ашан)</t>
        </is>
      </c>
      <c r="E23" s="8" t="n">
        <v>443.99</v>
      </c>
      <c r="F23" s="8">
        <f>IFERROR(E23/C23,"")</f>
        <v/>
      </c>
      <c r="G23" s="9" t="inlineStr">
        <is>
          <t>Energizer</t>
        </is>
      </c>
      <c r="H23" s="10" t="n">
        <v>2</v>
      </c>
      <c r="I23" s="9" t="inlineStr">
        <is>
          <t>Energizer Extreme · AAA · 800 мАч (Ашан)</t>
        </is>
      </c>
      <c r="J23" s="11" t="n">
        <v>513</v>
      </c>
      <c r="K23" s="11">
        <f>IFERROR(J23/H23,"")</f>
        <v/>
      </c>
      <c r="L23" s="12">
        <f>IFERROR(F23/K23-1,"")</f>
        <v/>
      </c>
      <c r="M23" s="13" t="inlineStr">
        <is>
          <t>https://www.auchan.ru/pokupki/akkum-enr-aaa-800-mah-2-sht.html</t>
        </is>
      </c>
    </row>
    <row r="24">
      <c r="A24" s="5" t="inlineStr">
        <is>
          <t>Food, Soft discount</t>
        </is>
      </c>
      <c r="B24" s="5" t="inlineStr">
        <is>
          <t>Ашан, Лента, Глобус, О'КЕЙ</t>
        </is>
      </c>
      <c r="C24" s="6" t="n">
        <v>2</v>
      </c>
      <c r="D24" s="7" t="inlineStr">
        <is>
          <t>GP Recharge 75AAAHC-2DECRC2 · AAA · 750 мАч (Лента)</t>
        </is>
      </c>
      <c r="E24" s="8" t="n">
        <v>451.59</v>
      </c>
      <c r="F24" s="8">
        <f>IFERROR(E24/C24,"")</f>
        <v/>
      </c>
      <c r="G24" s="9" t="inlineStr">
        <is>
          <t>VARTA</t>
        </is>
      </c>
      <c r="H24" s="10" t="n">
        <v>2</v>
      </c>
      <c r="I24" s="9" t="inlineStr">
        <is>
          <t>VARTA R2U · AAA · 800 мАч (Глобус)</t>
        </is>
      </c>
      <c r="J24" s="11" t="n">
        <v>399.99</v>
      </c>
      <c r="K24" s="11">
        <f>IFERROR(J24/H24,"")</f>
        <v/>
      </c>
      <c r="L24" s="12">
        <f>IFERROR(F24/K24-1,"")</f>
        <v/>
      </c>
      <c r="M24" s="13" t="inlineStr">
        <is>
          <t>https://lenta.com/catalog/vse-dlya-doma/lampochki-elementy-pitaniya/elementy-pitaniya/f/brandname=gp/</t>
        </is>
      </c>
    </row>
    <row r="25">
      <c r="A25" s="5" t="inlineStr">
        <is>
          <t>Food, Soft discount</t>
        </is>
      </c>
      <c r="B25" s="5" t="inlineStr">
        <is>
          <t>Ашан, Лента, Глобус, О'КЕЙ</t>
        </is>
      </c>
      <c r="C25" s="6" t="n">
        <v>2</v>
      </c>
      <c r="D25" s="7" t="inlineStr">
        <is>
          <t>GP Recharge 65AAAHC · AAA · 650 мАч (Ашан)</t>
        </is>
      </c>
      <c r="E25" s="8" t="n">
        <v>263.99</v>
      </c>
      <c r="F25" s="8">
        <f>IFERROR(E25/C25,"")</f>
        <v/>
      </c>
      <c r="G25" s="9" t="inlineStr">
        <is>
          <t>Focusray</t>
        </is>
      </c>
      <c r="H25" s="10" t="n">
        <v>2</v>
      </c>
      <c r="I25" s="9" t="inlineStr">
        <is>
          <t>Focusray Rechargeable · AAA · 900 мАч (Глобус)</t>
        </is>
      </c>
      <c r="J25" s="11" t="n">
        <v>219.99</v>
      </c>
      <c r="K25" s="11">
        <f>IFERROR(J25/H25,"")</f>
        <v/>
      </c>
      <c r="L25" s="12">
        <f>IFERROR(F25/K25-1,"")</f>
        <v/>
      </c>
      <c r="M25" s="13" t="inlineStr">
        <is>
          <t>https://www.auchan.ru/product/batareyka-akkumulyatornaya-gp-rechargeable-650-mach-tiporazmer-aaa-2-sht/</t>
        </is>
      </c>
    </row>
    <row r="26">
      <c r="A26" s="5" t="inlineStr">
        <is>
          <t>Food, Soft discount</t>
        </is>
      </c>
      <c r="B26" s="5" t="inlineStr">
        <is>
          <t>Ашан, Лента, Глобус, О'КЕЙ</t>
        </is>
      </c>
      <c r="C26" s="6" t="n">
        <v>2</v>
      </c>
      <c r="D26" s="7" t="inlineStr">
        <is>
          <t>GP Smart Energy 40AAAHC · AAA · 400 мАч (Лента)</t>
        </is>
      </c>
      <c r="E26" s="8" t="inlineStr">
        <is>
          <t>н/д</t>
        </is>
      </c>
      <c r="F26" s="8">
        <f>IFERROR(E26/C26,"")</f>
        <v/>
      </c>
      <c r="G26" s="9" t="inlineStr">
        <is>
          <t>Focusray</t>
        </is>
      </c>
      <c r="H26" s="10" t="n">
        <v>2</v>
      </c>
      <c r="I26" s="9" t="inlineStr">
        <is>
          <t>Focusray · AAA · 900 мАч (Глобус)</t>
        </is>
      </c>
      <c r="J26" s="11" t="n">
        <v>219.99</v>
      </c>
      <c r="K26" s="11">
        <f>IFERROR(J26/H26,"")</f>
        <v/>
      </c>
      <c r="L26" s="12">
        <f>IFERROR(F26/K26-1,"")</f>
        <v/>
      </c>
      <c r="M26" s="13" t="inlineStr">
        <is>
          <t>https://lenta.com/product/akkumulyator-gp-smart-energy-40aaahc-2sht-aaa-400mah-kitajj-381759/</t>
        </is>
      </c>
    </row>
    <row r="27">
      <c r="A27" s="5" t="inlineStr">
        <is>
          <t>Upmarket, CES, DIY</t>
        </is>
      </c>
      <c r="B27" s="5" t="inlineStr">
        <is>
          <t>М.Видео, Эльдорадо, ДНС, Ситилинк</t>
        </is>
      </c>
      <c r="C27" s="6" t="n">
        <v>2</v>
      </c>
      <c r="D27" s="7" t="inlineStr">
        <is>
          <t>GP Recharge 270AAHC-2DECRC2 · AA · 2700 мАч (ДНС)</t>
        </is>
      </c>
      <c r="E27" s="8" t="n">
        <v>999</v>
      </c>
      <c r="F27" s="8">
        <f>IFERROR(E27/C27,"")</f>
        <v/>
      </c>
      <c r="G27" s="9" t="inlineStr">
        <is>
          <t>Duracell</t>
        </is>
      </c>
      <c r="H27" s="10" t="n">
        <v>4</v>
      </c>
      <c r="I27" s="9" t="inlineStr">
        <is>
          <t>Duracell Rechargeable HR6-4BL · AA · 2500 мАч (ДНС)</t>
        </is>
      </c>
      <c r="J27" s="11" t="n">
        <v>1950</v>
      </c>
      <c r="K27" s="11">
        <f>IFERROR(J27/H27,"")</f>
        <v/>
      </c>
      <c r="L27" s="12">
        <f>IFERROR(F27/K27-1,"")</f>
        <v/>
      </c>
      <c r="M27" s="13" t="inlineStr">
        <is>
          <t>https://www.dns-shop.ru/product/b04f7e4d7ac03120/akkumulator-duracell-hr6-4bl-2500-mac/</t>
        </is>
      </c>
    </row>
    <row r="28">
      <c r="A28" s="5" t="inlineStr">
        <is>
          <t>Upmarket, CES, DIY</t>
        </is>
      </c>
      <c r="B28" s="5" t="inlineStr">
        <is>
          <t>М.Видео, Эльдорадо, ДНС, Ситилинк</t>
        </is>
      </c>
      <c r="C28" s="6" t="n">
        <v>4</v>
      </c>
      <c r="D28" s="7" t="inlineStr">
        <is>
          <t>GP Recharge 270AAHC-2DECRC4 · AA · 2700 мАч (ДНС)</t>
        </is>
      </c>
      <c r="E28" s="8" t="n">
        <v>1750</v>
      </c>
      <c r="F28" s="8">
        <f>IFERROR(E28/C28,"")</f>
        <v/>
      </c>
      <c r="G28" s="9" t="inlineStr">
        <is>
          <t>Duracell</t>
        </is>
      </c>
      <c r="H28" s="10" t="n">
        <v>4</v>
      </c>
      <c r="I28" s="9" t="inlineStr">
        <is>
          <t>Duracell Rechargeable HR6-4BL · AA · 2500 мАч (ДНС, Ситилинк)</t>
        </is>
      </c>
      <c r="J28" s="11" t="n">
        <v>1950</v>
      </c>
      <c r="K28" s="11">
        <f>IFERROR(J28/H28,"")</f>
        <v/>
      </c>
      <c r="L28" s="12">
        <f>IFERROR(F28/K28-1,"")</f>
        <v/>
      </c>
      <c r="M28" s="13" t="inlineStr">
        <is>
          <t>https://www.citilink.ru/product/aa-akkumulyatornaya-batareika-duracell-rechargeable-hr6-4bl-4-sht-2500-977923/</t>
        </is>
      </c>
    </row>
    <row r="29">
      <c r="A29" s="5" t="inlineStr">
        <is>
          <t>Upmarket, CES, DIY</t>
        </is>
      </c>
      <c r="B29" s="5" t="inlineStr">
        <is>
          <t>М.Видео, Эльдорадо, ДНС, Ситилинк</t>
        </is>
      </c>
      <c r="C29" s="6" t="n">
        <v>6</v>
      </c>
      <c r="D29" s="7" t="inlineStr">
        <is>
          <t>GP Recharge 270AAHC-CRB6 · AA · 2700 мАч (ДНС)</t>
        </is>
      </c>
      <c r="E29" s="8" t="n">
        <v>2399</v>
      </c>
      <c r="F29" s="8">
        <f>IFERROR(E29/C29,"")</f>
        <v/>
      </c>
      <c r="G29" s="9" t="inlineStr">
        <is>
          <t>Camelion</t>
        </is>
      </c>
      <c r="H29" s="10" t="n">
        <v>2</v>
      </c>
      <c r="I29" s="9" t="inlineStr">
        <is>
          <t>Camelion Always Ready · AA · 2700 мАч (ДНС)</t>
        </is>
      </c>
      <c r="J29" s="11" t="inlineStr">
        <is>
          <t>н/д</t>
        </is>
      </c>
      <c r="K29" s="11">
        <f>IFERROR(J29/H29,"")</f>
        <v/>
      </c>
      <c r="L29" s="12">
        <f>IFERROR(F29/K29-1,"")</f>
        <v/>
      </c>
      <c r="M29" s="13" t="inlineStr">
        <is>
          <t>https://www.dns-shop.ru/catalog/recipe/253ba88d4a3c2bec/akkumulatory-aa/</t>
        </is>
      </c>
    </row>
    <row r="30">
      <c r="A30" s="5" t="inlineStr">
        <is>
          <t>Upmarket, CES, DIY</t>
        </is>
      </c>
      <c r="B30" s="5" t="inlineStr">
        <is>
          <t>М.Видео, Эльдорадо, ДНС, Ситилинк</t>
        </is>
      </c>
      <c r="C30" s="6" t="n">
        <v>10</v>
      </c>
      <c r="D30" s="7" t="inlineStr">
        <is>
          <t>GP Recharge 270AAHC-CRB10 · AA · 2700 мАч (ДНС)</t>
        </is>
      </c>
      <c r="E30" s="8" t="n">
        <v>3299</v>
      </c>
      <c r="F30" s="8">
        <f>IFERROR(E30/C30,"")</f>
        <v/>
      </c>
      <c r="G30" s="9" t="inlineStr">
        <is>
          <t>Camelion</t>
        </is>
      </c>
      <c r="H30" s="10" t="n">
        <v>2</v>
      </c>
      <c r="I30" s="9" t="inlineStr">
        <is>
          <t>Camelion · AA · 2500 мАч (ДНС, Ozon)</t>
        </is>
      </c>
      <c r="J30" s="11" t="n">
        <v>364</v>
      </c>
      <c r="K30" s="11">
        <f>IFERROR(J30/H30,"")</f>
        <v/>
      </c>
      <c r="L30" s="12">
        <f>IFERROR(F30/K30-1,"")</f>
        <v/>
      </c>
      <c r="M30" s="13" t="inlineStr">
        <is>
          <t>https://www.dns-shop.ru/catalog/recipe/253ba88d4a3c2bec/akkumulatory-aa/</t>
        </is>
      </c>
    </row>
    <row r="31">
      <c r="A31" s="5" t="inlineStr">
        <is>
          <t>Upmarket, CES, DIY</t>
        </is>
      </c>
      <c r="B31" s="5" t="inlineStr">
        <is>
          <t>М.Видео, Эльдорадо, ДНС, Ситилинк</t>
        </is>
      </c>
      <c r="C31" s="6" t="n">
        <v>6</v>
      </c>
      <c r="D31" s="7" t="inlineStr">
        <is>
          <t>GP ReEnergy · AA (HR6) · 2600 мАч (Эльдорадо)</t>
        </is>
      </c>
      <c r="E31" s="8" t="n">
        <v>2899</v>
      </c>
      <c r="F31" s="8">
        <f>IFERROR(E31/C31,"")</f>
        <v/>
      </c>
      <c r="G31" s="9" t="inlineStr">
        <is>
          <t>Duracell</t>
        </is>
      </c>
      <c r="H31" s="10" t="n">
        <v>4</v>
      </c>
      <c r="I31" s="9" t="inlineStr">
        <is>
          <t>Duracell Rechargeable HR6-4BL · AA · 2500 мАч</t>
        </is>
      </c>
      <c r="J31" s="11" t="n">
        <v>1950</v>
      </c>
      <c r="K31" s="11">
        <f>IFERROR(J31/H31,"")</f>
        <v/>
      </c>
      <c r="L31" s="12">
        <f>IFERROR(F31/K31-1,"")</f>
        <v/>
      </c>
      <c r="M31" s="13" t="inlineStr">
        <is>
          <t>https://www.eldorado.ru/c/akkumulyatory_1120696/b/GP/</t>
        </is>
      </c>
    </row>
    <row r="32">
      <c r="A32" s="5" t="inlineStr">
        <is>
          <t>Upmarket, CES, DIY</t>
        </is>
      </c>
      <c r="B32" s="5" t="inlineStr">
        <is>
          <t>М.Видео, Эльдорадо, ДНС, Ситилинк</t>
        </is>
      </c>
      <c r="C32" s="6" t="n">
        <v>2</v>
      </c>
      <c r="D32" s="7" t="inlineStr">
        <is>
          <t>GP ReEnergy 180AAHCRGY-2CRCB2 · AA · 1800 мАч (ДНС)</t>
        </is>
      </c>
      <c r="E32" s="8" t="n">
        <v>799</v>
      </c>
      <c r="F32" s="8">
        <f>IFERROR(E32/C32,"")</f>
        <v/>
      </c>
      <c r="G32" s="9" t="inlineStr">
        <is>
          <t>Camelion</t>
        </is>
      </c>
      <c r="H32" s="10" t="n">
        <v>2</v>
      </c>
      <c r="I32" s="9" t="inlineStr">
        <is>
          <t>Camelion · AA · 1500 мАч (ДНС)</t>
        </is>
      </c>
      <c r="J32" s="11" t="inlineStr">
        <is>
          <t>н/д</t>
        </is>
      </c>
      <c r="K32" s="11">
        <f>IFERROR(J32/H32,"")</f>
        <v/>
      </c>
      <c r="L32" s="12">
        <f>IFERROR(F32/K32-1,"")</f>
        <v/>
      </c>
      <c r="M32" s="13" t="inlineStr">
        <is>
          <t>https://www.dns-shop.ru/catalog/recipe/253ba88d4a3c2bec/akkumulatory-aa/</t>
        </is>
      </c>
    </row>
    <row r="33">
      <c r="A33" s="5" t="inlineStr">
        <is>
          <t>Upmarket, CES, DIY</t>
        </is>
      </c>
      <c r="B33" s="5" t="inlineStr">
        <is>
          <t>М.Видео, Эльдорадо, ДНС, Ситилинк</t>
        </is>
      </c>
      <c r="C33" s="6" t="n">
        <v>2</v>
      </c>
      <c r="D33" s="7" t="inlineStr">
        <is>
          <t>GP ReCyko 210AAHCB · AA · 2000 мАч (Ситилинк)</t>
        </is>
      </c>
      <c r="E33" s="8" t="inlineStr">
        <is>
          <t>н/д</t>
        </is>
      </c>
      <c r="F33" s="8">
        <f>IFERROR(E33/C33,"")</f>
        <v/>
      </c>
      <c r="G33" s="9" t="inlineStr">
        <is>
          <t>Panasonic</t>
        </is>
      </c>
      <c r="H33" s="10" t="n">
        <v>4</v>
      </c>
      <c r="I33" s="9" t="inlineStr">
        <is>
          <t>Panasonic Eneloop · AA · 2000 мАч (ДНС)</t>
        </is>
      </c>
      <c r="J33" s="11" t="inlineStr">
        <is>
          <t>н/д</t>
        </is>
      </c>
      <c r="K33" s="11">
        <f>IFERROR(J33/H33,"")</f>
        <v/>
      </c>
      <c r="L33" s="12">
        <f>IFERROR(F33/K33-1,"")</f>
        <v/>
      </c>
      <c r="M33" s="13" t="inlineStr">
        <is>
          <t>https://www.citilink.ru/product/aa-akkumulyator-gp-recyko-210aahcb-2-sht-2000mach-558961/</t>
        </is>
      </c>
    </row>
    <row r="34">
      <c r="A34" s="5" t="inlineStr">
        <is>
          <t>Upmarket, CES, DIY</t>
        </is>
      </c>
      <c r="B34" s="5" t="inlineStr">
        <is>
          <t>М.Видео, Эльдорадо, ДНС, Ситилинк</t>
        </is>
      </c>
      <c r="C34" s="6" t="n">
        <v>4</v>
      </c>
      <c r="D34" s="7" t="inlineStr">
        <is>
          <t>GP Recharge 250AAHC · AA · 2500 мАч (ДНС)</t>
        </is>
      </c>
      <c r="E34" s="8" t="inlineStr">
        <is>
          <t>н/д</t>
        </is>
      </c>
      <c r="F34" s="8">
        <f>IFERROR(E34/C34,"")</f>
        <v/>
      </c>
      <c r="G34" s="9" t="inlineStr">
        <is>
          <t>Panasonic</t>
        </is>
      </c>
      <c r="H34" s="10" t="n">
        <v>4</v>
      </c>
      <c r="I34" s="9" t="inlineStr">
        <is>
          <t>Panasonic Eneloop PRO BK-3HCDE · AA · 2500 мАч (ДНС)</t>
        </is>
      </c>
      <c r="J34" s="11" t="inlineStr">
        <is>
          <t>н/д</t>
        </is>
      </c>
      <c r="K34" s="11">
        <f>IFERROR(J34/H34,"")</f>
        <v/>
      </c>
      <c r="L34" s="12">
        <f>IFERROR(F34/K34-1,"")</f>
        <v/>
      </c>
      <c r="M34" s="13" t="inlineStr">
        <is>
          <t>https://www.dns-shop.ru/product/0a15d1a9b1443330/akkumulator-panasonic-eneloop-pro-2500-mac/</t>
        </is>
      </c>
    </row>
    <row r="35">
      <c r="A35" s="5" t="inlineStr">
        <is>
          <t>Upmarket, CES, DIY</t>
        </is>
      </c>
      <c r="B35" s="5" t="inlineStr">
        <is>
          <t>М.Видео, Эльдорадо, ДНС, Ситилинк</t>
        </is>
      </c>
      <c r="C35" s="6" t="n">
        <v>6</v>
      </c>
      <c r="D35" s="7" t="inlineStr">
        <is>
          <t>GP ReEnergy · AAA (HR03) · 950 мАч (Эльдорадо)</t>
        </is>
      </c>
      <c r="E35" s="8" t="n">
        <v>2199</v>
      </c>
      <c r="F35" s="8">
        <f>IFERROR(E35/C35,"")</f>
        <v/>
      </c>
      <c r="G35" s="9" t="inlineStr">
        <is>
          <t>Duracell</t>
        </is>
      </c>
      <c r="H35" s="10" t="n">
        <v>4</v>
      </c>
      <c r="I35" s="9" t="inlineStr">
        <is>
          <t>Duracell Rechargeable HR03-4BL · AAA · 900 мАч (Ситилинк)</t>
        </is>
      </c>
      <c r="J35" s="11" t="inlineStr">
        <is>
          <t>н/д</t>
        </is>
      </c>
      <c r="K35" s="11">
        <f>IFERROR(J35/H35,"")</f>
        <v/>
      </c>
      <c r="L35" s="12">
        <f>IFERROR(F35/K35-1,"")</f>
        <v/>
      </c>
      <c r="M35" s="13" t="inlineStr">
        <is>
          <t>https://www.citilink.ru/product/aaa-akkumulyator-duracell-rechargeable-hr03-4bl-4-sht-850mach-977919/</t>
        </is>
      </c>
    </row>
    <row r="36">
      <c r="A36" s="5" t="inlineStr">
        <is>
          <t>Upmarket, CES, DIY</t>
        </is>
      </c>
      <c r="B36" s="5" t="inlineStr">
        <is>
          <t>М.Видео, Эльдорадо, ДНС, Ситилинк</t>
        </is>
      </c>
      <c r="C36" s="6" t="n">
        <v>2</v>
      </c>
      <c r="D36" s="7" t="inlineStr">
        <is>
          <t>GP Recharge 100AAAHC · AAA · 1000 мАч (Ситилинк, М.Видео)</t>
        </is>
      </c>
      <c r="E36" s="8" t="inlineStr">
        <is>
          <t>н/д</t>
        </is>
      </c>
      <c r="F36" s="8">
        <f>IFERROR(E36/C36,"")</f>
        <v/>
      </c>
      <c r="G36" s="9" t="inlineStr">
        <is>
          <t>Duracell</t>
        </is>
      </c>
      <c r="H36" s="10" t="n">
        <v>2</v>
      </c>
      <c r="I36" s="9" t="inlineStr">
        <is>
          <t>Duracell HR03 · AAA · 900 мАч (ДНС)</t>
        </is>
      </c>
      <c r="J36" s="11" t="inlineStr">
        <is>
          <t>н/д</t>
        </is>
      </c>
      <c r="K36" s="11">
        <f>IFERROR(J36/H36,"")</f>
        <v/>
      </c>
      <c r="L36" s="12">
        <f>IFERROR(F36/K36-1,"")</f>
        <v/>
      </c>
      <c r="M36" s="13" t="inlineStr">
        <is>
          <t>https://www.dns-shop.ru/product/292b44541d243330/akkumulator-duracell-aaa-hr03-900-mah-2-st/</t>
        </is>
      </c>
    </row>
    <row r="37">
      <c r="A37" s="5" t="inlineStr">
        <is>
          <t>Upmarket, CES, DIY</t>
        </is>
      </c>
      <c r="B37" s="5" t="inlineStr">
        <is>
          <t>М.Видео, Эльдорадо, ДНС, Ситилинк</t>
        </is>
      </c>
      <c r="C37" s="6" t="n">
        <v>4</v>
      </c>
      <c r="D37" s="7" t="inlineStr">
        <is>
          <t>GP Recharge 100AAAHC-2CR4 · AAA · 1000 мАч (М.Видео)</t>
        </is>
      </c>
      <c r="E37" s="8" t="inlineStr">
        <is>
          <t>н/д</t>
        </is>
      </c>
      <c r="F37" s="8">
        <f>IFERROR(E37/C37,"")</f>
        <v/>
      </c>
      <c r="G37" s="9" t="inlineStr">
        <is>
          <t>Duracell</t>
        </is>
      </c>
      <c r="H37" s="10" t="n">
        <v>4</v>
      </c>
      <c r="I37" s="9" t="inlineStr">
        <is>
          <t>Duracell Rechargeable HR03-4BL · AAA · 900 мАч (Ситилинк)</t>
        </is>
      </c>
      <c r="J37" s="11" t="inlineStr">
        <is>
          <t>н/д</t>
        </is>
      </c>
      <c r="K37" s="11">
        <f>IFERROR(J37/H37,"")</f>
        <v/>
      </c>
      <c r="L37" s="12">
        <f>IFERROR(F37/K37-1,"")</f>
        <v/>
      </c>
      <c r="M37" s="13" t="inlineStr">
        <is>
          <t>https://www.mvideo.ru/aksessuary-dlya-doma-50/batareiki-i-akkumulyatory-296/f/brand=gp</t>
        </is>
      </c>
    </row>
    <row r="38">
      <c r="A38" s="5" t="inlineStr">
        <is>
          <t>Upmarket, CES, DIY</t>
        </is>
      </c>
      <c r="B38" s="5" t="inlineStr">
        <is>
          <t>М.Видео, Эльдорадо, ДНС, Ситилинк</t>
        </is>
      </c>
      <c r="C38" s="6" t="n">
        <v>2</v>
      </c>
      <c r="D38" s="7" t="inlineStr">
        <is>
          <t>GP ReCyko 85AAAHCBLL-CR2 · AAA · 820 мАч (Ситилинк)</t>
        </is>
      </c>
      <c r="E38" s="8" t="inlineStr">
        <is>
          <t>н/д</t>
        </is>
      </c>
      <c r="F38" s="8">
        <f>IFERROR(E38/C38,"")</f>
        <v/>
      </c>
      <c r="G38" s="9" t="inlineStr">
        <is>
          <t>Camelion</t>
        </is>
      </c>
      <c r="H38" s="10" t="n">
        <v>2</v>
      </c>
      <c r="I38" s="9" t="inlineStr">
        <is>
          <t>Camelion Always Ready · AAA · 800–900 мАч</t>
        </is>
      </c>
      <c r="J38" s="11" t="inlineStr">
        <is>
          <t>н/д</t>
        </is>
      </c>
      <c r="K38" s="11">
        <f>IFERROR(J38/H38,"")</f>
        <v/>
      </c>
      <c r="L38" s="12">
        <f>IFERROR(F38/K38-1,"")</f>
        <v/>
      </c>
      <c r="M38" s="13" t="inlineStr">
        <is>
          <t>https://www.citilink.ru/product/aaa-akkumulyator-gp-recyko-gp85aaahcbll-cr2-2-sht-820mach-558960/</t>
        </is>
      </c>
    </row>
    <row r="39">
      <c r="A39" s="5" t="inlineStr">
        <is>
          <t>Specialty, CES, DIY</t>
        </is>
      </c>
      <c r="B39" s="5" t="inlineStr">
        <is>
          <t>ВсеИнструменты, ОБИ, Лемана ПРО (Леруа Мерлен), крупные порталы по рыбалке</t>
        </is>
      </c>
      <c r="C39" s="6" t="n">
        <v>6</v>
      </c>
      <c r="D39" s="7" t="inlineStr">
        <is>
          <t>GP Recharge 270AAHC4/2-CR6 · AA · 2700 мАч (Лемана ПРО)</t>
        </is>
      </c>
      <c r="E39" s="8" t="n">
        <v>2564</v>
      </c>
      <c r="F39" s="8">
        <f>IFERROR(E39/C39,"")</f>
        <v/>
      </c>
      <c r="G39" s="9" t="inlineStr">
        <is>
          <t>Lexman (СТМ Леруа)</t>
        </is>
      </c>
      <c r="H39" s="10" t="n">
        <v>4</v>
      </c>
      <c r="I39" s="9" t="inlineStr">
        <is>
          <t>Lexman · AA · 2400 мАч (Лемана ПРО)</t>
        </is>
      </c>
      <c r="J39" s="11" t="inlineStr">
        <is>
          <t>н/д</t>
        </is>
      </c>
      <c r="K39" s="11">
        <f>IFERROR(J39/H39,"")</f>
        <v/>
      </c>
      <c r="L39" s="12">
        <f>IFERROR(F39/K39-1,"")</f>
        <v/>
      </c>
      <c r="M39" s="13" t="inlineStr">
        <is>
          <t>https://barnaul.lemanapro.ru/product/akkumulyator-gp-270aahc4-2-cr6-ni-mh-hr6-aa-2700-mach-12v-6-sht-81976790/</t>
        </is>
      </c>
    </row>
    <row r="40">
      <c r="A40" s="5" t="inlineStr">
        <is>
          <t>Specialty, CES, DIY</t>
        </is>
      </c>
      <c r="B40" s="5" t="inlineStr">
        <is>
          <t>ВсеИнструменты, ОБИ, Лемана ПРО (Леруа Мерлен), крупные порталы по рыбалке</t>
        </is>
      </c>
      <c r="C40" s="6" t="n">
        <v>8</v>
      </c>
      <c r="D40" s="7" t="inlineStr">
        <is>
          <t>GP Recharge 270AAHC4/4-2CR8 · AA · 2700 мАч (ВсеИнструменты)</t>
        </is>
      </c>
      <c r="E40" s="8" t="inlineStr">
        <is>
          <t>н/д</t>
        </is>
      </c>
      <c r="F40" s="8">
        <f>IFERROR(E40/C40,"")</f>
        <v/>
      </c>
      <c r="G40" s="9" t="inlineStr">
        <is>
          <t>Robiton</t>
        </is>
      </c>
      <c r="H40" s="10" t="n">
        <v>2</v>
      </c>
      <c r="I40" s="9" t="inlineStr">
        <is>
          <t>Robiton 2850MHAA · AA · 2850 мАч</t>
        </is>
      </c>
      <c r="J40" s="11" t="inlineStr">
        <is>
          <t>н/д</t>
        </is>
      </c>
      <c r="K40" s="11">
        <f>IFERROR(J40/H40,"")</f>
        <v/>
      </c>
      <c r="L40" s="12">
        <f>IFERROR(F40/K40-1,"")</f>
        <v/>
      </c>
      <c r="M40" s="13" t="inlineStr">
        <is>
          <t>https://www.vseinstrumenti.ru/product/perezaryazhaemye-akkumulyatory-gp-270aahc-aa-emkost-2700-mach-4-4-sht-270aahc4-4-2cr8-1158463/</t>
        </is>
      </c>
    </row>
    <row r="41">
      <c r="A41" s="5" t="inlineStr">
        <is>
          <t>Specialty, CES, DIY</t>
        </is>
      </c>
      <c r="B41" s="5" t="inlineStr">
        <is>
          <t>ВсеИнструменты, ОБИ, Лемана ПРО (Леруа Мерлен), крупные порталы по рыбалке</t>
        </is>
      </c>
      <c r="C41" s="6" t="n">
        <v>6</v>
      </c>
      <c r="D41" s="7" t="inlineStr">
        <is>
          <t>GP Recharge 270AAHC4/2-2CR6 · AA · 2700 мАч (ВсеИнструменты)</t>
        </is>
      </c>
      <c r="E41" s="8" t="inlineStr">
        <is>
          <t>н/д</t>
        </is>
      </c>
      <c r="F41" s="8">
        <f>IFERROR(E41/C41,"")</f>
        <v/>
      </c>
      <c r="G41" s="9" t="inlineStr">
        <is>
          <t>Robiton</t>
        </is>
      </c>
      <c r="H41" s="10" t="n">
        <v>4</v>
      </c>
      <c r="I41" s="9" t="inlineStr">
        <is>
          <t>Robiton 2500MHAA · AA · 2500 мАч</t>
        </is>
      </c>
      <c r="J41" s="11" t="inlineStr">
        <is>
          <t>н/д</t>
        </is>
      </c>
      <c r="K41" s="11">
        <f>IFERROR(J41/H41,"")</f>
        <v/>
      </c>
      <c r="L41" s="12">
        <f>IFERROR(F41/K41-1,"")</f>
        <v/>
      </c>
      <c r="M41" s="13" t="inlineStr">
        <is>
          <t>https://www.vseinstrumenti.ru/product/perezaryazhaemye-akkumulyatory-gp-270aahc-emkost-2700-mach-4-2sht-270aahc4-2-2cr6-991203/</t>
        </is>
      </c>
    </row>
    <row r="42">
      <c r="A42" s="5" t="inlineStr">
        <is>
          <t>Specialty, CES, DIY</t>
        </is>
      </c>
      <c r="B42" s="5" t="inlineStr">
        <is>
          <t>ВсеИнструменты, ОБИ, Лемана ПРО (Леруа Мерлен), крупные порталы по рыбалке</t>
        </is>
      </c>
      <c r="C42" s="6" t="n">
        <v>2</v>
      </c>
      <c r="D42" s="7" t="inlineStr">
        <is>
          <t>GP Recharge 230AAHC · AA · 2300 мАч (Лемана ПРО)</t>
        </is>
      </c>
      <c r="E42" s="8" t="inlineStr">
        <is>
          <t>н/д</t>
        </is>
      </c>
      <c r="F42" s="8">
        <f>IFERROR(E42/C42,"")</f>
        <v/>
      </c>
      <c r="G42" s="9" t="inlineStr">
        <is>
          <t>Lexman (СТМ Леруа)</t>
        </is>
      </c>
      <c r="H42" s="10" t="n">
        <v>4</v>
      </c>
      <c r="I42" s="9" t="inlineStr">
        <is>
          <t>Lexman · AA · 2400 мАч (Лемана ПРО)</t>
        </is>
      </c>
      <c r="J42" s="11" t="inlineStr">
        <is>
          <t>н/д</t>
        </is>
      </c>
      <c r="K42" s="11">
        <f>IFERROR(J42/H42,"")</f>
        <v/>
      </c>
      <c r="L42" s="12">
        <f>IFERROR(F42/K42-1,"")</f>
        <v/>
      </c>
      <c r="M42" s="13" t="inlineStr">
        <is>
          <t>https://leroymerlin.ru/product/akkumulyator-gp-aa-ni-mh-11405185/</t>
        </is>
      </c>
    </row>
    <row r="43">
      <c r="A43" s="5" t="inlineStr">
        <is>
          <t>Specialty, CES, DIY</t>
        </is>
      </c>
      <c r="B43" s="5" t="inlineStr">
        <is>
          <t>ВсеИнструменты, ОБИ, Лемана ПРО (Леруа Мерлен), крупные порталы по рыбалке</t>
        </is>
      </c>
      <c r="C43" s="6" t="n">
        <v>4</v>
      </c>
      <c r="D43" s="7" t="inlineStr">
        <is>
          <t>GP Recharge 100AAAHC · AAA · 1000 мАч (ВсеИнструменты)</t>
        </is>
      </c>
      <c r="E43" s="8" t="inlineStr">
        <is>
          <t>н/д</t>
        </is>
      </c>
      <c r="F43" s="8">
        <f>IFERROR(E43/C43,"")</f>
        <v/>
      </c>
      <c r="G43" s="9" t="inlineStr">
        <is>
          <t>IEK GREEN</t>
        </is>
      </c>
      <c r="H43" s="10" t="n">
        <v>4</v>
      </c>
      <c r="I43" s="9" t="inlineStr">
        <is>
          <t>IEK GREEN Ni-MH · AAA · 1100 мАч (ОБИ)</t>
        </is>
      </c>
      <c r="J43" s="11" t="n">
        <v>839</v>
      </c>
      <c r="K43" s="11">
        <f>IFERROR(J43/H43,"")</f>
        <v/>
      </c>
      <c r="L43" s="12">
        <f>IFERROR(F43/K43-1,"")</f>
        <v/>
      </c>
      <c r="M43" s="13" t="inlineStr">
        <is>
          <t>https://obi.ru/products/akkumuljator-green-ni-mh-aaa-1100mach-4sht-blister-iek-5709955</t>
        </is>
      </c>
    </row>
    <row r="44">
      <c r="A44" s="5" t="inlineStr">
        <is>
          <t>Specialty, CES, DIY</t>
        </is>
      </c>
      <c r="B44" s="5" t="inlineStr">
        <is>
          <t>ВсеИнструменты, ОБИ, Лемана ПРО (Леруа Мерлен), крупные порталы по рыбалке</t>
        </is>
      </c>
      <c r="C44" s="6" t="n">
        <v>2</v>
      </c>
      <c r="D44" s="7" t="inlineStr">
        <is>
          <t>GP Recharge 100AAAHC · AAA · 1000 мАч</t>
        </is>
      </c>
      <c r="E44" s="8" t="inlineStr">
        <is>
          <t>н/д</t>
        </is>
      </c>
      <c r="F44" s="8">
        <f>IFERROR(E44/C44,"")</f>
        <v/>
      </c>
      <c r="G44" s="9" t="inlineStr">
        <is>
          <t>IEK GREEN</t>
        </is>
      </c>
      <c r="H44" s="10" t="n">
        <v>2</v>
      </c>
      <c r="I44" s="9" t="inlineStr">
        <is>
          <t>IEK GREEN Ni-MH · AAA · 1100 мАч (Лемана ПРО)</t>
        </is>
      </c>
      <c r="J44" s="11" t="n">
        <v>405</v>
      </c>
      <c r="K44" s="11">
        <f>IFERROR(J44/H44,"")</f>
        <v/>
      </c>
      <c r="L44" s="12">
        <f>IFERROR(F44/K44-1,"")</f>
        <v/>
      </c>
      <c r="M44" s="13" t="inlineStr">
        <is>
          <t>https://barnaul.lemanapro.ru/product/akkumulyator-iek-green-ni-mh-aaa-1100mach-2-sht-91589318/</t>
        </is>
      </c>
    </row>
    <row r="45">
      <c r="A45" s="5" t="inlineStr">
        <is>
          <t>Specialty, CES, DIY</t>
        </is>
      </c>
      <c r="B45" s="5" t="inlineStr">
        <is>
          <t>ВсеИнструменты, ОБИ, Лемана ПРО (Леруа Мерлен), крупные порталы по рыбалке</t>
        </is>
      </c>
      <c r="C45" s="6" t="n">
        <v>2</v>
      </c>
      <c r="D45" s="7" t="inlineStr">
        <is>
          <t>GP Recharge 85AAAHC · AAA · 850 мАч (ВсеИнструменты)</t>
        </is>
      </c>
      <c r="E45" s="8" t="inlineStr">
        <is>
          <t>н/д</t>
        </is>
      </c>
      <c r="F45" s="8">
        <f>IFERROR(E45/C45,"")</f>
        <v/>
      </c>
      <c r="G45" s="9" t="inlineStr">
        <is>
          <t>Космос</t>
        </is>
      </c>
      <c r="H45" s="10" t="n">
        <v>2</v>
      </c>
      <c r="I45" s="9" t="inlineStr">
        <is>
          <t>Космос HR03 Ni-MH · AAA · 800 мАч (Лемана ПРО)</t>
        </is>
      </c>
      <c r="J45" s="11" t="n">
        <v>278</v>
      </c>
      <c r="K45" s="11">
        <f>IFERROR(J45/H45,"")</f>
        <v/>
      </c>
      <c r="L45" s="12">
        <f>IFERROR(F45/K45-1,"")</f>
        <v/>
      </c>
      <c r="M45" s="13" t="inlineStr">
        <is>
          <t>https://ivanovo.lemanapro.ru/product/akkumulyatornaya-batareyka-kosmos-aaa-hr03-ni-mh-800-mach-2-sht-90160927/</t>
        </is>
      </c>
    </row>
    <row r="46">
      <c r="A46" s="5" t="inlineStr">
        <is>
          <t>Specialty, CES, DIY</t>
        </is>
      </c>
      <c r="B46" s="5" t="inlineStr">
        <is>
          <t>ВсеИнструменты, ОБИ, Лемана ПРО (Леруа Мерлен), крупные порталы по рыбалке</t>
        </is>
      </c>
      <c r="C46" s="6" t="n">
        <v>2</v>
      </c>
      <c r="D46" s="7" t="inlineStr">
        <is>
          <t>GP Recharge 85AAAHC · AAA · 850 мАч</t>
        </is>
      </c>
      <c r="E46" s="8" t="inlineStr">
        <is>
          <t>н/д</t>
        </is>
      </c>
      <c r="F46" s="8">
        <f>IFERROR(E46/C46,"")</f>
        <v/>
      </c>
      <c r="G46" s="9" t="inlineStr">
        <is>
          <t>Robiton</t>
        </is>
      </c>
      <c r="H46" s="10" t="n">
        <v>2</v>
      </c>
      <c r="I46" s="9" t="inlineStr">
        <is>
          <t>Robiton 1100MHAAA · AAA · 1100 мАч (ВсеИнструменты, рыболовные порталы)</t>
        </is>
      </c>
      <c r="J46" s="11" t="inlineStr">
        <is>
          <t>н/д</t>
        </is>
      </c>
      <c r="K46" s="11">
        <f>IFERROR(J46/H46,"")</f>
        <v/>
      </c>
      <c r="L46" s="12">
        <f>IFERROR(F46/K46-1,"")</f>
        <v/>
      </c>
      <c r="M46" s="13" t="inlineStr">
        <is>
          <t>https://www.robiton.ru/product/10187/</t>
        </is>
      </c>
    </row>
  </sheetData>
  <mergeCells count="6">
    <mergeCell ref="G1:K1"/>
    <mergeCell ref="C1:F1"/>
    <mergeCell ref="B1:B2"/>
    <mergeCell ref="M1:M2"/>
    <mergeCell ref="L1:L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0" customWidth="1" min="4" max="4"/>
    <col width="30" customWidth="1" min="5" max="5"/>
    <col width="34" customWidth="1" min="6" max="6"/>
    <col width="46" customWidth="1" min="7" max="7"/>
  </cols>
  <sheetData>
    <row r="1">
      <c r="A1" s="14" t="inlineStr">
        <is>
          <t>Все варианты упаковок Ni-MH, найденные в исследуемых каналах (включая позиции без прямого аналога у конкурентов)</t>
        </is>
      </c>
    </row>
    <row r="3">
      <c r="A3" s="1" t="inlineStr">
        <is>
          <t>Бренд</t>
        </is>
      </c>
      <c r="B3" s="1" t="inlineStr">
        <is>
          <t>Грейд / линейка</t>
        </is>
      </c>
      <c r="C3" s="1" t="inlineStr">
        <is>
          <t>Типоразмер</t>
        </is>
      </c>
      <c r="D3" s="1" t="inlineStr">
        <is>
          <t>Ёмкость, мАч</t>
        </is>
      </c>
      <c r="E3" s="1" t="inlineStr">
        <is>
          <t>Варианты упаковки, шт</t>
        </is>
      </c>
      <c r="F3" s="1" t="inlineStr">
        <is>
          <t>Канал(ы), где встречается</t>
        </is>
      </c>
      <c r="G3" s="1" t="inlineStr">
        <is>
          <t>Есть ли аналог у др. брендов</t>
        </is>
      </c>
    </row>
    <row r="4">
      <c r="A4" s="15" t="inlineStr">
        <is>
          <t>GP</t>
        </is>
      </c>
      <c r="B4" s="15" t="inlineStr">
        <is>
          <t>ReEnergy (LSD)</t>
        </is>
      </c>
      <c r="C4" s="15" t="inlineStr">
        <is>
          <t>AA</t>
        </is>
      </c>
      <c r="D4" s="15" t="inlineStr">
        <is>
          <t>2600</t>
        </is>
      </c>
      <c r="E4" s="15" t="inlineStr">
        <is>
          <t>2 / 4 / 6 / 12 / 18</t>
        </is>
      </c>
      <c r="F4" s="15" t="inlineStr">
        <is>
          <t>Online, Upmarket CES</t>
        </is>
      </c>
      <c r="G4" s="15" t="inlineStr">
        <is>
          <t>Да — VARTA R2U 2600 (4)</t>
        </is>
      </c>
    </row>
    <row r="5">
      <c r="A5" s="15" t="inlineStr">
        <is>
          <t>GP</t>
        </is>
      </c>
      <c r="B5" s="15" t="inlineStr">
        <is>
          <t>ReEnergy (LSD)</t>
        </is>
      </c>
      <c r="C5" s="15" t="inlineStr">
        <is>
          <t>AA</t>
        </is>
      </c>
      <c r="D5" s="15" t="inlineStr">
        <is>
          <t>2000–2100</t>
        </is>
      </c>
      <c r="E5" s="15" t="inlineStr">
        <is>
          <t>2 / 4</t>
        </is>
      </c>
      <c r="F5" s="15" t="inlineStr">
        <is>
          <t>Online, Upmarket CES</t>
        </is>
      </c>
      <c r="G5" s="15" t="inlineStr">
        <is>
          <t>Да — VARTA R2U 2100, Eneloop 2000</t>
        </is>
      </c>
    </row>
    <row r="6">
      <c r="A6" s="15" t="inlineStr">
        <is>
          <t>GP</t>
        </is>
      </c>
      <c r="B6" s="15" t="inlineStr">
        <is>
          <t>ReEnergy (LSD)</t>
        </is>
      </c>
      <c r="C6" s="15" t="inlineStr">
        <is>
          <t>AA</t>
        </is>
      </c>
      <c r="D6" s="15" t="inlineStr">
        <is>
          <t>1800</t>
        </is>
      </c>
      <c r="E6" s="15" t="inlineStr">
        <is>
          <t>2</t>
        </is>
      </c>
      <c r="F6" s="15" t="inlineStr">
        <is>
          <t>Upmarket CES (ДНС)</t>
        </is>
      </c>
      <c r="G6" s="15" t="inlineStr">
        <is>
          <t>Нет прямого аналога</t>
        </is>
      </c>
    </row>
    <row r="7">
      <c r="A7" s="15" t="inlineStr">
        <is>
          <t>GP</t>
        </is>
      </c>
      <c r="B7" s="15" t="inlineStr">
        <is>
          <t>ReEnergy (LSD)</t>
        </is>
      </c>
      <c r="C7" s="15" t="inlineStr">
        <is>
          <t>AAA</t>
        </is>
      </c>
      <c r="D7" s="15" t="inlineStr">
        <is>
          <t>950</t>
        </is>
      </c>
      <c r="E7" s="15" t="inlineStr">
        <is>
          <t>2 / 4 / 6 / 18</t>
        </is>
      </c>
      <c r="F7" s="15" t="inlineStr">
        <is>
          <t>Online, Upmarket CES</t>
        </is>
      </c>
      <c r="G7" s="15" t="inlineStr">
        <is>
          <t>Да — Duracell 900, VARTA 800</t>
        </is>
      </c>
    </row>
    <row r="8">
      <c r="A8" s="15" t="inlineStr">
        <is>
          <t>GP</t>
        </is>
      </c>
      <c r="B8" s="15" t="inlineStr">
        <is>
          <t>ReEnergy (LSD)</t>
        </is>
      </c>
      <c r="C8" s="15" t="inlineStr">
        <is>
          <t>AAA</t>
        </is>
      </c>
      <c r="D8" s="15" t="inlineStr">
        <is>
          <t>650</t>
        </is>
      </c>
      <c r="E8" s="15" t="inlineStr">
        <is>
          <t>2</t>
        </is>
      </c>
      <c r="F8" s="15" t="inlineStr">
        <is>
          <t>Online, Food</t>
        </is>
      </c>
      <c r="G8" s="15" t="inlineStr">
        <is>
          <t>Нет прямого аналога (ближайший VARTA 800)</t>
        </is>
      </c>
    </row>
    <row r="9">
      <c r="A9" s="15" t="inlineStr">
        <is>
          <t>GP</t>
        </is>
      </c>
      <c r="B9" s="15" t="inlineStr">
        <is>
          <t>Recharge</t>
        </is>
      </c>
      <c r="C9" s="15" t="inlineStr">
        <is>
          <t>AA</t>
        </is>
      </c>
      <c r="D9" s="15" t="inlineStr">
        <is>
          <t>2700 (на упак. 2600)</t>
        </is>
      </c>
      <c r="E9" s="15" t="inlineStr">
        <is>
          <t>2 / 4 / 6 / 8 / 10 / 12 / 16 / 18</t>
        </is>
      </c>
      <c r="F9" s="15" t="inlineStr">
        <is>
          <t>Все каналы</t>
        </is>
      </c>
      <c r="G9" s="15" t="inlineStr">
        <is>
          <t>Да — VARTA 2700, Panasonic 2700, Camelion 2700, Robiton 2850</t>
        </is>
      </c>
    </row>
    <row r="10">
      <c r="A10" s="15" t="inlineStr">
        <is>
          <t>GP</t>
        </is>
      </c>
      <c r="B10" s="15" t="inlineStr">
        <is>
          <t>Recharge</t>
        </is>
      </c>
      <c r="C10" s="15" t="inlineStr">
        <is>
          <t>AA</t>
        </is>
      </c>
      <c r="D10" s="15" t="inlineStr">
        <is>
          <t>2500</t>
        </is>
      </c>
      <c r="E10" s="15" t="inlineStr">
        <is>
          <t>2 / 4</t>
        </is>
      </c>
      <c r="F10" s="15" t="inlineStr">
        <is>
          <t>Online, Food, Upmarket CES</t>
        </is>
      </c>
      <c r="G10" s="15" t="inlineStr">
        <is>
          <t>Да — Duracell 2500, Eneloop PRO 2500, Camelion 2500, Focusray 2500, Robiton 2500</t>
        </is>
      </c>
    </row>
    <row r="11">
      <c r="A11" s="15" t="inlineStr">
        <is>
          <t>GP</t>
        </is>
      </c>
      <c r="B11" s="15" t="inlineStr">
        <is>
          <t>Recharge</t>
        </is>
      </c>
      <c r="C11" s="15" t="inlineStr">
        <is>
          <t>AA</t>
        </is>
      </c>
      <c r="D11" s="15" t="inlineStr">
        <is>
          <t>2300</t>
        </is>
      </c>
      <c r="E11" s="15" t="inlineStr">
        <is>
          <t>2</t>
        </is>
      </c>
      <c r="F11" s="15" t="inlineStr">
        <is>
          <t>Food (Ашан), Лемана ПРО</t>
        </is>
      </c>
      <c r="G11" s="15" t="inlineStr">
        <is>
          <t>Да — Energizer Extreme 2300, Lexman 2400</t>
        </is>
      </c>
    </row>
    <row r="12">
      <c r="A12" s="15" t="inlineStr">
        <is>
          <t>GP</t>
        </is>
      </c>
      <c r="B12" s="15" t="inlineStr">
        <is>
          <t>Recharge</t>
        </is>
      </c>
      <c r="C12" s="15" t="inlineStr">
        <is>
          <t>AA</t>
        </is>
      </c>
      <c r="D12" s="15" t="inlineStr">
        <is>
          <t>1300</t>
        </is>
      </c>
      <c r="E12" s="15" t="inlineStr">
        <is>
          <t>2</t>
        </is>
      </c>
      <c r="F12" s="15" t="inlineStr">
        <is>
          <t>Food (Лента), Upmarket CES</t>
        </is>
      </c>
      <c r="G12" s="15" t="inlineStr">
        <is>
          <t>Нет прямого аналога (ближайший Camelion 1500)</t>
        </is>
      </c>
    </row>
    <row r="13">
      <c r="A13" s="15" t="inlineStr">
        <is>
          <t>GP</t>
        </is>
      </c>
      <c r="B13" s="15" t="inlineStr">
        <is>
          <t>Recharge</t>
        </is>
      </c>
      <c r="C13" s="15" t="inlineStr">
        <is>
          <t>AAA</t>
        </is>
      </c>
      <c r="D13" s="15" t="inlineStr">
        <is>
          <t>1000</t>
        </is>
      </c>
      <c r="E13" s="15" t="inlineStr">
        <is>
          <t>2 / 4 / 10 / 12</t>
        </is>
      </c>
      <c r="F13" s="15" t="inlineStr">
        <is>
          <t>Все каналы</t>
        </is>
      </c>
      <c r="G13" s="15" t="inlineStr">
        <is>
          <t>Да — IEK GREEN 1100, Navigator 1000, VARTA 1000, Robiton 1100</t>
        </is>
      </c>
    </row>
    <row r="14">
      <c r="A14" s="15" t="inlineStr">
        <is>
          <t>GP</t>
        </is>
      </c>
      <c r="B14" s="15" t="inlineStr">
        <is>
          <t>Recharge</t>
        </is>
      </c>
      <c r="C14" s="15" t="inlineStr">
        <is>
          <t>AAA</t>
        </is>
      </c>
      <c r="D14" s="15" t="inlineStr">
        <is>
          <t>850</t>
        </is>
      </c>
      <c r="E14" s="15" t="inlineStr">
        <is>
          <t>2</t>
        </is>
      </c>
      <c r="F14" s="15" t="inlineStr">
        <is>
          <t>Online, Food, Specialty</t>
        </is>
      </c>
      <c r="G14" s="15" t="inlineStr">
        <is>
          <t>Да — Duracell 850/900, Космос 800, Energizer 800</t>
        </is>
      </c>
    </row>
    <row r="15">
      <c r="A15" s="15" t="inlineStr">
        <is>
          <t>GP</t>
        </is>
      </c>
      <c r="B15" s="15" t="inlineStr">
        <is>
          <t>Recharge</t>
        </is>
      </c>
      <c r="C15" s="15" t="inlineStr">
        <is>
          <t>AAA</t>
        </is>
      </c>
      <c r="D15" s="15" t="inlineStr">
        <is>
          <t>750</t>
        </is>
      </c>
      <c r="E15" s="15" t="inlineStr">
        <is>
          <t>2</t>
        </is>
      </c>
      <c r="F15" s="15" t="inlineStr">
        <is>
          <t>Food (Лента), Upmarket CES</t>
        </is>
      </c>
      <c r="G15" s="15" t="inlineStr">
        <is>
          <t>Да — Космос 800, VARTA 800</t>
        </is>
      </c>
    </row>
    <row r="16">
      <c r="A16" s="15" t="inlineStr">
        <is>
          <t>GP</t>
        </is>
      </c>
      <c r="B16" s="15" t="inlineStr">
        <is>
          <t>Recharge</t>
        </is>
      </c>
      <c r="C16" s="15" t="inlineStr">
        <is>
          <t>AAA</t>
        </is>
      </c>
      <c r="D16" s="15" t="inlineStr">
        <is>
          <t>650</t>
        </is>
      </c>
      <c r="E16" s="15" t="inlineStr">
        <is>
          <t>2</t>
        </is>
      </c>
      <c r="F16" s="15" t="inlineStr">
        <is>
          <t>Food (Ашан)</t>
        </is>
      </c>
      <c r="G16" s="15" t="inlineStr">
        <is>
          <t>Нет прямого аналога</t>
        </is>
      </c>
    </row>
    <row r="17">
      <c r="A17" s="15" t="inlineStr">
        <is>
          <t>GP</t>
        </is>
      </c>
      <c r="B17" s="15" t="inlineStr">
        <is>
          <t>Smart Energy</t>
        </is>
      </c>
      <c r="C17" s="15" t="inlineStr">
        <is>
          <t>AAA</t>
        </is>
      </c>
      <c r="D17" s="15" t="inlineStr">
        <is>
          <t>400</t>
        </is>
      </c>
      <c r="E17" s="15" t="inlineStr">
        <is>
          <t>2</t>
        </is>
      </c>
      <c r="F17" s="15" t="inlineStr">
        <is>
          <t>Food (Лента), Upmarket CES (ДНС промо)</t>
        </is>
      </c>
      <c r="G17" s="15" t="inlineStr">
        <is>
          <t>Нет прямого аналога</t>
        </is>
      </c>
    </row>
    <row r="18">
      <c r="A18" s="15" t="inlineStr">
        <is>
          <t>GP</t>
        </is>
      </c>
      <c r="B18" s="15" t="inlineStr">
        <is>
          <t>Recharge (комбо)</t>
        </is>
      </c>
      <c r="C18" s="15" t="inlineStr">
        <is>
          <t>AA+AAA</t>
        </is>
      </c>
      <c r="D18" s="15" t="inlineStr">
        <is>
          <t>2700 + 1000 / 2600 + 950</t>
        </is>
      </c>
      <c r="E18" s="15" t="inlineStr">
        <is>
          <t>4 (2+2) / 8 (4+4)</t>
        </is>
      </c>
      <c r="F18" s="15" t="inlineStr">
        <is>
          <t>Upmarket CES, Specialty</t>
        </is>
      </c>
      <c r="G18" s="15" t="inlineStr">
        <is>
          <t>Нет прямого аналога — уникальный формат GP</t>
        </is>
      </c>
    </row>
    <row r="19">
      <c r="A19" s="16" t="inlineStr">
        <is>
          <t>VARTA</t>
        </is>
      </c>
      <c r="B19" s="16" t="inlineStr">
        <is>
          <t>Recharge Accu Power</t>
        </is>
      </c>
      <c r="C19" s="16" t="inlineStr">
        <is>
          <t>AA</t>
        </is>
      </c>
      <c r="D19" s="16" t="inlineStr">
        <is>
          <t>2700</t>
        </is>
      </c>
      <c r="E19" s="16" t="inlineStr">
        <is>
          <t>2 / 4</t>
        </is>
      </c>
      <c r="F19" s="16" t="inlineStr">
        <is>
          <t>Online</t>
        </is>
      </c>
      <c r="G19" s="16" t="inlineStr">
        <is>
          <t>Да — GP 2700</t>
        </is>
      </c>
    </row>
    <row r="20">
      <c r="A20" s="16" t="inlineStr">
        <is>
          <t>VARTA</t>
        </is>
      </c>
      <c r="B20" s="16" t="inlineStr">
        <is>
          <t>Recharge Accu Power R2U</t>
        </is>
      </c>
      <c r="C20" s="16" t="inlineStr">
        <is>
          <t>AA</t>
        </is>
      </c>
      <c r="D20" s="16" t="inlineStr">
        <is>
          <t>2600</t>
        </is>
      </c>
      <c r="E20" s="16" t="inlineStr">
        <is>
          <t>4</t>
        </is>
      </c>
      <c r="F20" s="16" t="inlineStr">
        <is>
          <t>Online</t>
        </is>
      </c>
      <c r="G20" s="16" t="inlineStr">
        <is>
          <t>Да — GP ReEnergy 2600</t>
        </is>
      </c>
    </row>
    <row r="21">
      <c r="A21" s="16" t="inlineStr">
        <is>
          <t>VARTA</t>
        </is>
      </c>
      <c r="B21" s="16" t="inlineStr">
        <is>
          <t>Power Accu R2U</t>
        </is>
      </c>
      <c r="C21" s="16" t="inlineStr">
        <is>
          <t>AA</t>
        </is>
      </c>
      <c r="D21" s="16" t="inlineStr">
        <is>
          <t>2500</t>
        </is>
      </c>
      <c r="E21" s="16" t="inlineStr">
        <is>
          <t>4</t>
        </is>
      </c>
      <c r="F21" s="16" t="inlineStr">
        <is>
          <t>Online</t>
        </is>
      </c>
      <c r="G21" s="16" t="inlineStr">
        <is>
          <t>Да — GP 2500</t>
        </is>
      </c>
    </row>
    <row r="22">
      <c r="A22" s="16" t="inlineStr">
        <is>
          <t>VARTA</t>
        </is>
      </c>
      <c r="B22" s="16" t="inlineStr">
        <is>
          <t>Recharge Accu Power</t>
        </is>
      </c>
      <c r="C22" s="16" t="inlineStr">
        <is>
          <t>AA</t>
        </is>
      </c>
      <c r="D22" s="16" t="inlineStr">
        <is>
          <t>2100</t>
        </is>
      </c>
      <c r="E22" s="16" t="inlineStr">
        <is>
          <t>2 / 4</t>
        </is>
      </c>
      <c r="F22" s="16" t="inlineStr">
        <is>
          <t>Online, Food (Глобус)</t>
        </is>
      </c>
      <c r="G22" s="16" t="inlineStr">
        <is>
          <t>Да — GP ReEnergy 2000–2100</t>
        </is>
      </c>
    </row>
    <row r="23">
      <c r="A23" s="16" t="inlineStr">
        <is>
          <t>VARTA</t>
        </is>
      </c>
      <c r="B23" s="16" t="inlineStr">
        <is>
          <t>Recharge Accu Power</t>
        </is>
      </c>
      <c r="C23" s="16" t="inlineStr">
        <is>
          <t>AAA</t>
        </is>
      </c>
      <c r="D23" s="16" t="inlineStr">
        <is>
          <t>1000</t>
        </is>
      </c>
      <c r="E23" s="16" t="inlineStr">
        <is>
          <t>4</t>
        </is>
      </c>
      <c r="F23" s="16" t="inlineStr">
        <is>
          <t>Food (Глобус)</t>
        </is>
      </c>
      <c r="G23" s="16" t="inlineStr">
        <is>
          <t>Да — GP 1000</t>
        </is>
      </c>
    </row>
    <row r="24">
      <c r="A24" s="16" t="inlineStr">
        <is>
          <t>VARTA</t>
        </is>
      </c>
      <c r="B24" s="16" t="inlineStr">
        <is>
          <t>Recharge Accu R2U</t>
        </is>
      </c>
      <c r="C24" s="16" t="inlineStr">
        <is>
          <t>AAA</t>
        </is>
      </c>
      <c r="D24" s="16" t="inlineStr">
        <is>
          <t>800</t>
        </is>
      </c>
      <c r="E24" s="16" t="inlineStr">
        <is>
          <t>2</t>
        </is>
      </c>
      <c r="F24" s="16" t="inlineStr">
        <is>
          <t>Online, Food (Глобус)</t>
        </is>
      </c>
      <c r="G24" s="16" t="inlineStr">
        <is>
          <t>Да — GP 850/750</t>
        </is>
      </c>
    </row>
    <row r="25">
      <c r="A25" s="16" t="inlineStr">
        <is>
          <t>Duracell</t>
        </is>
      </c>
      <c r="B25" s="16" t="inlineStr">
        <is>
          <t>Recharge Turbo</t>
        </is>
      </c>
      <c r="C25" s="16" t="inlineStr">
        <is>
          <t>AA</t>
        </is>
      </c>
      <c r="D25" s="16" t="inlineStr">
        <is>
          <t>2500</t>
        </is>
      </c>
      <c r="E25" s="16" t="inlineStr">
        <is>
          <t>2 / 4</t>
        </is>
      </c>
      <c r="F25" s="16" t="inlineStr">
        <is>
          <t>Online, Upmarket CES</t>
        </is>
      </c>
      <c r="G25" s="16" t="inlineStr">
        <is>
          <t>Да — GP 2500</t>
        </is>
      </c>
    </row>
    <row r="26">
      <c r="A26" s="16" t="inlineStr">
        <is>
          <t>Duracell</t>
        </is>
      </c>
      <c r="B26" s="16" t="inlineStr">
        <is>
          <t>Rechargeable</t>
        </is>
      </c>
      <c r="C26" s="16" t="inlineStr">
        <is>
          <t>AAA</t>
        </is>
      </c>
      <c r="D26" s="16" t="inlineStr">
        <is>
          <t>850–900</t>
        </is>
      </c>
      <c r="E26" s="16" t="inlineStr">
        <is>
          <t>2 / 4</t>
        </is>
      </c>
      <c r="F26" s="16" t="inlineStr">
        <is>
          <t>Online, Upmarket CES, Specialty (ОБИ)</t>
        </is>
      </c>
      <c r="G26" s="16" t="inlineStr">
        <is>
          <t>Да — GP 850/950</t>
        </is>
      </c>
    </row>
    <row r="27">
      <c r="A27" s="16" t="inlineStr">
        <is>
          <t>Panasonic</t>
        </is>
      </c>
      <c r="B27" s="16" t="inlineStr">
        <is>
          <t>Обычные Ni-MH</t>
        </is>
      </c>
      <c r="C27" s="16" t="inlineStr">
        <is>
          <t>AA</t>
        </is>
      </c>
      <c r="D27" s="16" t="inlineStr">
        <is>
          <t>2700</t>
        </is>
      </c>
      <c r="E27" s="16" t="inlineStr">
        <is>
          <t>4</t>
        </is>
      </c>
      <c r="F27" s="16" t="inlineStr">
        <is>
          <t>Online</t>
        </is>
      </c>
      <c r="G27" s="16" t="inlineStr">
        <is>
          <t>Да — GP 2700</t>
        </is>
      </c>
    </row>
    <row r="28">
      <c r="A28" s="16" t="inlineStr">
        <is>
          <t>Panasonic</t>
        </is>
      </c>
      <c r="B28" s="16" t="inlineStr">
        <is>
          <t>Eneloop</t>
        </is>
      </c>
      <c r="C28" s="16" t="inlineStr">
        <is>
          <t>AA</t>
        </is>
      </c>
      <c r="D28" s="16" t="inlineStr">
        <is>
          <t>2000</t>
        </is>
      </c>
      <c r="E28" s="16" t="inlineStr">
        <is>
          <t>2 / 4</t>
        </is>
      </c>
      <c r="F28" s="16" t="inlineStr">
        <is>
          <t>Online, Upmarket CES</t>
        </is>
      </c>
      <c r="G28" s="16" t="inlineStr">
        <is>
          <t>Да — GP ReEnergy 2000–2100</t>
        </is>
      </c>
    </row>
    <row r="29">
      <c r="A29" s="16" t="inlineStr">
        <is>
          <t>Panasonic</t>
        </is>
      </c>
      <c r="B29" s="16" t="inlineStr">
        <is>
          <t>Eneloop PRO</t>
        </is>
      </c>
      <c r="C29" s="16" t="inlineStr">
        <is>
          <t>AA</t>
        </is>
      </c>
      <c r="D29" s="16" t="inlineStr">
        <is>
          <t>2500</t>
        </is>
      </c>
      <c r="E29" s="16" t="inlineStr">
        <is>
          <t>2 / 4</t>
        </is>
      </c>
      <c r="F29" s="16" t="inlineStr">
        <is>
          <t>Upmarket CES</t>
        </is>
      </c>
      <c r="G29" s="16" t="inlineStr">
        <is>
          <t>Да — GP 2500</t>
        </is>
      </c>
    </row>
    <row r="30">
      <c r="A30" s="16" t="inlineStr">
        <is>
          <t>Energizer</t>
        </is>
      </c>
      <c r="B30" s="16" t="inlineStr">
        <is>
          <t>Extreme (LSD)</t>
        </is>
      </c>
      <c r="C30" s="16" t="inlineStr">
        <is>
          <t>AA</t>
        </is>
      </c>
      <c r="D30" s="16" t="inlineStr">
        <is>
          <t>2300</t>
        </is>
      </c>
      <c r="E30" s="16" t="inlineStr">
        <is>
          <t>2 / 4</t>
        </is>
      </c>
      <c r="F30" s="16" t="inlineStr">
        <is>
          <t>Food (Ашан, Лента)</t>
        </is>
      </c>
      <c r="G30" s="16" t="inlineStr">
        <is>
          <t>Да — GP 2300</t>
        </is>
      </c>
    </row>
    <row r="31">
      <c r="A31" s="16" t="inlineStr">
        <is>
          <t>Energizer</t>
        </is>
      </c>
      <c r="B31" s="16" t="inlineStr">
        <is>
          <t>Extreme (LSD)</t>
        </is>
      </c>
      <c r="C31" s="16" t="inlineStr">
        <is>
          <t>AAA</t>
        </is>
      </c>
      <c r="D31" s="16" t="inlineStr">
        <is>
          <t>800</t>
        </is>
      </c>
      <c r="E31" s="16" t="inlineStr">
        <is>
          <t>2 / 4</t>
        </is>
      </c>
      <c r="F31" s="16" t="inlineStr">
        <is>
          <t>Food (Ашан, Глобус)</t>
        </is>
      </c>
      <c r="G31" s="16" t="inlineStr">
        <is>
          <t>Да — GP 850/750</t>
        </is>
      </c>
    </row>
    <row r="32">
      <c r="A32" s="16" t="inlineStr">
        <is>
          <t>Camelion</t>
        </is>
      </c>
      <c r="B32" s="16" t="inlineStr">
        <is>
          <t>Always Ready (LSD)</t>
        </is>
      </c>
      <c r="C32" s="16" t="inlineStr">
        <is>
          <t>AA</t>
        </is>
      </c>
      <c r="D32" s="16" t="inlineStr">
        <is>
          <t>2700</t>
        </is>
      </c>
      <c r="E32" s="16" t="inlineStr">
        <is>
          <t>2 / 4</t>
        </is>
      </c>
      <c r="F32" s="16" t="inlineStr">
        <is>
          <t>Upmarket CES</t>
        </is>
      </c>
      <c r="G32" s="16" t="inlineStr">
        <is>
          <t>Да — GP 2700</t>
        </is>
      </c>
    </row>
    <row r="33">
      <c r="A33" s="16" t="inlineStr">
        <is>
          <t>Camelion</t>
        </is>
      </c>
      <c r="B33" s="16" t="inlineStr">
        <is>
          <t>Ni-MH</t>
        </is>
      </c>
      <c r="C33" s="16" t="inlineStr">
        <is>
          <t>AA</t>
        </is>
      </c>
      <c r="D33" s="16" t="inlineStr">
        <is>
          <t>2500</t>
        </is>
      </c>
      <c r="E33" s="16" t="inlineStr">
        <is>
          <t>2 / 4</t>
        </is>
      </c>
      <c r="F33" s="16" t="inlineStr">
        <is>
          <t>Online, Upmarket CES</t>
        </is>
      </c>
      <c r="G33" s="16" t="inlineStr">
        <is>
          <t>Да — GP 2500</t>
        </is>
      </c>
    </row>
    <row r="34">
      <c r="A34" s="16" t="inlineStr">
        <is>
          <t>Camelion</t>
        </is>
      </c>
      <c r="B34" s="16" t="inlineStr">
        <is>
          <t>Ni-MH</t>
        </is>
      </c>
      <c r="C34" s="16" t="inlineStr">
        <is>
          <t>AA</t>
        </is>
      </c>
      <c r="D34" s="16" t="inlineStr">
        <is>
          <t>1500</t>
        </is>
      </c>
      <c r="E34" s="16" t="inlineStr">
        <is>
          <t>2</t>
        </is>
      </c>
      <c r="F34" s="16" t="inlineStr">
        <is>
          <t>Upmarket CES</t>
        </is>
      </c>
      <c r="G34" s="16" t="inlineStr">
        <is>
          <t>Нет прямого аналога (GP 1300 — ближайший)</t>
        </is>
      </c>
    </row>
    <row r="35">
      <c r="A35" s="16" t="inlineStr">
        <is>
          <t>Robiton</t>
        </is>
      </c>
      <c r="B35" s="16" t="inlineStr">
        <is>
          <t>Ni-MH</t>
        </is>
      </c>
      <c r="C35" s="16" t="inlineStr">
        <is>
          <t>AA</t>
        </is>
      </c>
      <c r="D35" s="16" t="inlineStr">
        <is>
          <t>2850</t>
        </is>
      </c>
      <c r="E35" s="16" t="inlineStr">
        <is>
          <t>2</t>
        </is>
      </c>
      <c r="F35" s="16" t="inlineStr">
        <is>
          <t>Specialty, рыболовные порталы</t>
        </is>
      </c>
      <c r="G35" s="16" t="inlineStr">
        <is>
          <t>Да — GP 2700</t>
        </is>
      </c>
    </row>
    <row r="36">
      <c r="A36" s="16" t="inlineStr">
        <is>
          <t>Robiton</t>
        </is>
      </c>
      <c r="B36" s="16" t="inlineStr">
        <is>
          <t>Ni-MH</t>
        </is>
      </c>
      <c r="C36" s="16" t="inlineStr">
        <is>
          <t>AA</t>
        </is>
      </c>
      <c r="D36" s="16" t="inlineStr">
        <is>
          <t>2500</t>
        </is>
      </c>
      <c r="E36" s="16" t="inlineStr">
        <is>
          <t>2 / 4</t>
        </is>
      </c>
      <c r="F36" s="16" t="inlineStr">
        <is>
          <t>Specialty</t>
        </is>
      </c>
      <c r="G36" s="16" t="inlineStr">
        <is>
          <t>Да — GP 2500</t>
        </is>
      </c>
    </row>
    <row r="37">
      <c r="A37" s="16" t="inlineStr">
        <is>
          <t>Robiton</t>
        </is>
      </c>
      <c r="B37" s="16" t="inlineStr">
        <is>
          <t>Ni-MH</t>
        </is>
      </c>
      <c r="C37" s="16" t="inlineStr">
        <is>
          <t>AAA</t>
        </is>
      </c>
      <c r="D37" s="16" t="inlineStr">
        <is>
          <t>1100</t>
        </is>
      </c>
      <c r="E37" s="16" t="inlineStr">
        <is>
          <t>2 / 4</t>
        </is>
      </c>
      <c r="F37" s="16" t="inlineStr">
        <is>
          <t>Specialty</t>
        </is>
      </c>
      <c r="G37" s="16" t="inlineStr">
        <is>
          <t>Да — GP 1000</t>
        </is>
      </c>
    </row>
    <row r="38">
      <c r="A38" s="16" t="inlineStr">
        <is>
          <t>Focusray</t>
        </is>
      </c>
      <c r="B38" s="16" t="inlineStr">
        <is>
          <t>Rechargeable</t>
        </is>
      </c>
      <c r="C38" s="16" t="inlineStr">
        <is>
          <t>AA</t>
        </is>
      </c>
      <c r="D38" s="16" t="inlineStr">
        <is>
          <t>2500</t>
        </is>
      </c>
      <c r="E38" s="16" t="inlineStr">
        <is>
          <t>2</t>
        </is>
      </c>
      <c r="F38" s="16" t="inlineStr">
        <is>
          <t>Food (Глобус)</t>
        </is>
      </c>
      <c r="G38" s="16" t="inlineStr">
        <is>
          <t>Да — GP 2500</t>
        </is>
      </c>
    </row>
    <row r="39">
      <c r="A39" s="16" t="inlineStr">
        <is>
          <t>Focusray</t>
        </is>
      </c>
      <c r="B39" s="16" t="inlineStr">
        <is>
          <t>Rechargeable</t>
        </is>
      </c>
      <c r="C39" s="16" t="inlineStr">
        <is>
          <t>AAA</t>
        </is>
      </c>
      <c r="D39" s="16" t="inlineStr">
        <is>
          <t>900</t>
        </is>
      </c>
      <c r="E39" s="16" t="inlineStr">
        <is>
          <t>2</t>
        </is>
      </c>
      <c r="F39" s="16" t="inlineStr">
        <is>
          <t>Food (Глобус)</t>
        </is>
      </c>
      <c r="G39" s="16" t="inlineStr">
        <is>
          <t>Да — GP 950/850</t>
        </is>
      </c>
    </row>
    <row r="40">
      <c r="A40" s="16" t="inlineStr">
        <is>
          <t>Космос</t>
        </is>
      </c>
      <c r="B40" s="16" t="inlineStr">
        <is>
          <t>Ni-MH</t>
        </is>
      </c>
      <c r="C40" s="16" t="inlineStr">
        <is>
          <t>AAA</t>
        </is>
      </c>
      <c r="D40" s="16" t="inlineStr">
        <is>
          <t>800</t>
        </is>
      </c>
      <c r="E40" s="16" t="inlineStr">
        <is>
          <t>2</t>
        </is>
      </c>
      <c r="F40" s="16" t="inlineStr">
        <is>
          <t>Specialty (Лемана ПРО)</t>
        </is>
      </c>
      <c r="G40" s="16" t="inlineStr">
        <is>
          <t>Да — GP 850/750</t>
        </is>
      </c>
    </row>
    <row r="41">
      <c r="A41" s="16" t="inlineStr">
        <is>
          <t>IEK</t>
        </is>
      </c>
      <c r="B41" s="16" t="inlineStr">
        <is>
          <t>GREEN Ni-MH</t>
        </is>
      </c>
      <c r="C41" s="16" t="inlineStr">
        <is>
          <t>AAA</t>
        </is>
      </c>
      <c r="D41" s="16" t="inlineStr">
        <is>
          <t>1100</t>
        </is>
      </c>
      <c r="E41" s="16" t="inlineStr">
        <is>
          <t>2 / 4</t>
        </is>
      </c>
      <c r="F41" s="16" t="inlineStr">
        <is>
          <t>Specialty (ОБИ, Лемана ПРО)</t>
        </is>
      </c>
      <c r="G41" s="16" t="inlineStr">
        <is>
          <t>Да — GP 1000</t>
        </is>
      </c>
    </row>
    <row r="42">
      <c r="A42" s="16" t="inlineStr">
        <is>
          <t>Navigator</t>
        </is>
      </c>
      <c r="B42" s="16" t="inlineStr">
        <is>
          <t>Ni-MH</t>
        </is>
      </c>
      <c r="C42" s="16" t="inlineStr">
        <is>
          <t>AAA</t>
        </is>
      </c>
      <c r="D42" s="16" t="inlineStr">
        <is>
          <t>1000</t>
        </is>
      </c>
      <c r="E42" s="16" t="inlineStr">
        <is>
          <t>1 / 2</t>
        </is>
      </c>
      <c r="F42" s="16" t="inlineStr">
        <is>
          <t>Specialty (ОБИ)</t>
        </is>
      </c>
      <c r="G42" s="16" t="inlineStr">
        <is>
          <t>Да — GP 1000</t>
        </is>
      </c>
    </row>
    <row r="43">
      <c r="A43" s="16" t="inlineStr">
        <is>
          <t>Lexman</t>
        </is>
      </c>
      <c r="B43" s="16" t="inlineStr">
        <is>
          <t>СТМ Леруа</t>
        </is>
      </c>
      <c r="C43" s="16" t="inlineStr">
        <is>
          <t>AA</t>
        </is>
      </c>
      <c r="D43" s="16" t="inlineStr">
        <is>
          <t>2400</t>
        </is>
      </c>
      <c r="E43" s="16" t="inlineStr">
        <is>
          <t>4</t>
        </is>
      </c>
      <c r="F43" s="16" t="inlineStr">
        <is>
          <t>Specialty (Лемана ПРО)</t>
        </is>
      </c>
      <c r="G43" s="16" t="inlineStr">
        <is>
          <t>Да — GP 2300/2500</t>
        </is>
      </c>
    </row>
    <row r="44">
      <c r="A44" s="16" t="inlineStr">
        <is>
          <t>Fix Price</t>
        </is>
      </c>
      <c r="B44" s="16" t="inlineStr">
        <is>
          <t>СТМ (no-name)</t>
        </is>
      </c>
      <c r="C44" s="16" t="inlineStr">
        <is>
          <t>AA</t>
        </is>
      </c>
      <c r="D44" s="16" t="inlineStr">
        <is>
          <t>600</t>
        </is>
      </c>
      <c r="E44" s="16" t="inlineStr">
        <is>
          <t>4</t>
        </is>
      </c>
      <c r="F44" s="16" t="inlineStr">
        <is>
          <t>Discounters / Private Brands</t>
        </is>
      </c>
      <c r="G44" s="16" t="inlineStr">
        <is>
          <t>Нет прямого аналога у GP</t>
        </is>
      </c>
    </row>
    <row r="45">
      <c r="A45" s="16" t="inlineStr">
        <is>
          <t>Fix Price</t>
        </is>
      </c>
      <c r="B45" s="16" t="inlineStr">
        <is>
          <t>СТМ (no-name)</t>
        </is>
      </c>
      <c r="C45" s="16" t="inlineStr">
        <is>
          <t>AAA</t>
        </is>
      </c>
      <c r="D45" s="16" t="inlineStr">
        <is>
          <t>600</t>
        </is>
      </c>
      <c r="E45" s="16" t="inlineStr">
        <is>
          <t>4</t>
        </is>
      </c>
      <c r="F45" s="16" t="inlineStr">
        <is>
          <t>Discounters / Private Brands</t>
        </is>
      </c>
      <c r="G45" s="16" t="inlineStr">
        <is>
          <t>Нет прямого аналога у GP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7" t="inlineStr">
        <is>
          <t>Методика и ограничения исследования</t>
        </is>
      </c>
    </row>
    <row r="2">
      <c r="A2" s="18" t="inlineStr"/>
    </row>
    <row r="3">
      <c r="A3" s="18" t="inlineStr">
        <is>
          <t>Категория: перезаряжаемые элементы питания Ni-MH, типоразмеры AA (HR6) и AAA (HR03).</t>
        </is>
      </c>
    </row>
    <row r="4">
      <c r="A4" s="18" t="inlineStr">
        <is>
          <t>Грейды GP, актуальные для рынка РФ: GP ReEnergy (LSD, ready-to-use) и GP Recharge / GP Rechargeable (классический High Capacity).</t>
        </is>
      </c>
    </row>
    <row r="5">
      <c r="A5" s="18" t="inlineStr">
        <is>
          <t>Линейка GP ReCyko в анализ НЕ включалась (не является актуальным грейдом для РФ). Единичные остатки ReCyko в Ситилинке помечены отдельно.</t>
        </is>
      </c>
    </row>
    <row r="6">
      <c r="A6" s="18" t="inlineStr"/>
    </row>
    <row r="7">
      <c r="A7" s="18" t="inlineStr">
        <is>
          <t>Правило сопоставления: сравнение только внутри одного типоразмера. Точное совпадение ёмкости не требуется —</t>
        </is>
      </c>
    </row>
    <row r="8">
      <c r="A8" s="18" t="inlineStr">
        <is>
          <t>сопоставимыми считались соседние ёмкостные ступени (например AA 2600 ↔ 2700 ↔ 2500; AAA 950 ↔ 1000 ↔ 850).</t>
        </is>
      </c>
    </row>
    <row r="9">
      <c r="A9" s="18" t="inlineStr"/>
    </row>
    <row r="10">
      <c r="A10" s="18" t="inlineStr">
        <is>
          <t>Наборы «аккумуляторы + зарядное устройство» исключены из сравнения по условию задачи.</t>
        </is>
      </c>
    </row>
    <row r="11">
      <c r="A11" s="18" t="inlineStr">
        <is>
          <t>На каждый канал взято не более 3 конкурентных брендов — выбраны крупнейшие по представленности в данном канале.</t>
        </is>
      </c>
    </row>
    <row r="12">
      <c r="A12" s="18" t="inlineStr"/>
    </row>
    <row r="13">
      <c r="A13" s="17" t="inlineStr">
        <is>
          <t>ВАЖНО — ограничение по данным о ценах</t>
        </is>
      </c>
    </row>
    <row r="14">
      <c r="A14" s="18" t="inlineStr">
        <is>
          <t>Прямой доступ к сайтам ритейлеров из этой рабочей среды закрыт сетевым прокси (egress blocked).</t>
        </is>
      </c>
    </row>
    <row r="15">
      <c r="A15" s="18" t="inlineStr">
        <is>
          <t>Все данные получены через поисковую выдачу. Поэтому цены разделены по степени достоверности:</t>
        </is>
      </c>
    </row>
    <row r="16">
      <c r="A16" s="18" t="inlineStr">
        <is>
          <t xml:space="preserve">  • Цены, попавшие в заголовок карточки товара в выдаче (Ашан, Лемана ПРО, ОБИ, Fix Price, Лента) — надёжны.</t>
        </is>
      </c>
    </row>
    <row r="17">
      <c r="A17" s="18" t="inlineStr">
        <is>
          <t xml:space="preserve">  • Цены из сводок поисковой выдачи (ДНС, Ситилинк, Эльдорадо, Глобус, Onlinetrade) — ориентировочные, требуют подтверждения на сайте.</t>
        </is>
      </c>
    </row>
    <row r="18">
      <c r="A18" s="18" t="inlineStr">
        <is>
          <t xml:space="preserve">  • «н/д» — цену получить не удалось; позиция подтверждена как присутствующая в ассортименте.</t>
        </is>
      </c>
    </row>
    <row r="19">
      <c r="A19" s="18" t="inlineStr">
        <is>
          <t>Перед использованием в ценовом решении цены нужно перепроверить на сайтах партнёров.</t>
        </is>
      </c>
    </row>
    <row r="20">
      <c r="A20" s="18" t="inlineStr"/>
    </row>
    <row r="21">
      <c r="A21" s="17" t="inlineStr">
        <is>
          <t>Отдельные наблюдения по каналам</t>
        </is>
      </c>
    </row>
    <row r="22">
      <c r="A22" s="18" t="inlineStr">
        <is>
          <t>FixPrice: собственных Ni-MH SKU бренда GP в отдельной упаковке нет — только набор GP PowerBank + 4×AA 1300 мАч (исключён).</t>
        </is>
      </c>
    </row>
    <row r="23">
      <c r="A23" s="18" t="inlineStr">
        <is>
          <t>Конкурент в канале один — СТМ Fix Price (no-name), 4 шт AA/AAA 600 мАч, 199 ₽. Это ценовой «пол» категории.</t>
        </is>
      </c>
    </row>
    <row r="24">
      <c r="A24" s="18" t="inlineStr">
        <is>
          <t>О'КЕЙ: онлайн-каталог непродовольственной группы практически не индексируется; ассортимент Ni-MH подтвердить не удалось.</t>
        </is>
      </c>
    </row>
    <row r="25">
      <c r="A25" s="18" t="inlineStr">
        <is>
          <t>Рыболовные порталы (SpinningLine, fMagazin): Ni-MH представлены точечно, доминирует Robiton; GP в выдаче не подтверждён.</t>
        </is>
      </c>
    </row>
    <row r="26">
      <c r="A26" s="18" t="inlineStr">
        <is>
          <t>Расхождение маркировки GP: серия 270AAHC («2700 series») на упаковке для РФ маркируется как 2600 мАч (min capacity).</t>
        </is>
      </c>
    </row>
    <row r="27">
      <c r="A27" s="18" t="inlineStr">
        <is>
          <t>Поэтому в таблице встречаются обе цифры для одного и того же элемента.</t>
        </is>
      </c>
    </row>
    <row r="28">
      <c r="A28" s="18" t="inlineStr"/>
    </row>
    <row r="29">
      <c r="A29" s="17" t="inlineStr">
        <is>
          <t>Как читать колонки</t>
        </is>
      </c>
    </row>
    <row r="30">
      <c r="A30" s="18" t="inlineStr">
        <is>
          <t>₽/шт — RSP, делённая на количество элементов в упаковке. Основная метрика для честного сравнения разноформатных упаковок.</t>
        </is>
      </c>
    </row>
    <row r="31">
      <c r="A31" s="18" t="inlineStr">
        <is>
          <t>Index GP / Comp — насколько ₽/шт GP выше (+) или ниже (−) конкурента в той же строке.</t>
        </is>
      </c>
    </row>
    <row r="32">
      <c r="A32" s="18" t="inlineStr">
        <is>
          <t>Image — ссылка на карточку товара вместо изображения (изображения нельзя выгрузить из этой среды).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2026-08-25T16:05:50Z</dcterms:created>
  <dcterms:modified xsi:type="dcterms:W3CDTF">2026-08-25T16:05:50Z</dcterms:modified>
</cp:coreProperties>
</file>